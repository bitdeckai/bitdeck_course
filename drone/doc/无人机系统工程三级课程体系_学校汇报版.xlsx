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d8f38d2a94a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汇报总览" sheetId="1" r:id="R8c7e84aa3b514a04"/>
    <x:sheet xmlns:r="http://schemas.openxmlformats.org/officeDocument/2006/relationships" name="02_课程架构" sheetId="2" r:id="R94a8eb213a9848df"/>
    <x:sheet xmlns:r="http://schemas.openxmlformats.org/officeDocument/2006/relationships" name="03_L1小学基础版" sheetId="3" r:id="Rc40da08b0fca4394"/>
    <x:sheet xmlns:r="http://schemas.openxmlformats.org/officeDocument/2006/relationships" name="04_L2初高中进阶版" sheetId="4" r:id="R43c10c889ddd4278"/>
    <x:sheet xmlns:r="http://schemas.openxmlformats.org/officeDocument/2006/relationships" name="05_L3大学专业版" sheetId="5" r:id="R186f1276ed484823"/>
    <x:sheet xmlns:r="http://schemas.openxmlformats.org/officeDocument/2006/relationships" name="06_公共硬件拓展" sheetId="6" r:id="R87120de37d234dac"/>
    <x:sheet xmlns:r="http://schemas.openxmlformats.org/officeDocument/2006/relationships" name="07_测评与选课路径" sheetId="7" r:id="R86bf9859e6314d6c"/>
    <x:sheet xmlns:r="http://schemas.openxmlformats.org/officeDocument/2006/relationships" name="08_90分钟课时模板" sheetId="8" r:id="R51d964edb62f437c"/>
    <x:sheet xmlns:r="http://schemas.openxmlformats.org/officeDocument/2006/relationships" name="09_学科与算法映射" sheetId="9" r:id="R1a9c672a2ef3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&quot;分钟&quot;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0"/>
      <x:color rgb="FFFFFFFF"/>
      <x:name val="Carlito"/>
    </x:font>
    <x:font>
      <x:b/>
      <x:sz val="10"/>
      <x:color rgb="FF16324F"/>
      <x:name val="Carlito"/>
    </x:font>
    <x:font>
      <x:b/>
      <x:sz val="10"/>
      <x:color rgb="FF1F2937"/>
      <x:name val="Carlito"/>
    </x:font>
    <x:font>
      <x:b/>
      <x:sz val="10"/>
      <x:color rgb="FFB91C1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4FF"/>
      </x:patternFill>
    </x:fill>
    <x:fill>
      <x:patternFill patternType="solid">
        <x:fgColor rgb="FF0E7490"/>
      </x:patternFill>
    </x:fill>
    <x:fill>
      <x:patternFill patternType="solid">
        <x:fgColor rgb="FFE8F7F5"/>
      </x:patternFill>
    </x:fill>
    <x:fill>
      <x:patternFill patternType="solid">
        <x:fgColor rgb="FF2563EB"/>
      </x:patternFill>
    </x:fill>
    <x:fill>
      <x:patternFill patternType="solid">
        <x:fgColor rgb="FFFFF3E8"/>
      </x:patternFill>
    </x:fill>
    <x:fill>
      <x:patternFill patternType="solid">
        <x:fgColor rgb="FFFFFFFF"/>
      </x:patternFill>
    </x:fill>
  </x:fills>
  <x:borders count="2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2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18" xfId="0" applyNumberFormat="1" applyFont="1" applyFill="1" applyBorder="1" applyAlignment="1">
      <x:alignment vertical="center" wrapText="1"/>
    </x:xf>
    <x:xf numFmtId="0" fontId="5" fillId="4" borderId="19" xfId="0" applyNumberFormat="1" applyFont="1" applyFill="1" applyBorder="1" applyAlignment="1">
      <x:alignment vertical="center" wrapText="1"/>
    </x:xf>
    <x:xf numFmtId="0" fontId="5" fillId="4" borderId="20" xfId="0" applyNumberFormat="1" applyFont="1" applyFill="1" applyBorder="1" applyAlignment="1">
      <x:alignment vertical="center" wrapText="1"/>
    </x:xf>
    <x:xf numFmtId="0" fontId="5" fillId="4" borderId="18" xfId="0" applyNumberFormat="1" applyFont="1" applyFill="1" applyBorder="1" applyAlignment="1">
      <x:alignment horizontal="center" vertical="center" wrapText="1"/>
    </x:xf>
    <x:xf numFmtId="0" fontId="5" fillId="4" borderId="19" xfId="0" applyNumberFormat="1" applyFont="1" applyFill="1" applyBorder="1" applyAlignment="1">
      <x:alignment horizontal="center" vertical="center" wrapText="1"/>
    </x:xf>
    <x:xf numFmtId="0" fontId="5" fillId="4" borderId="20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21" xfId="0" applyNumberFormat="1" applyFont="1" applyFill="1" applyBorder="1" applyAlignment="1">
      <x:alignment vertical="center" wrapText="1"/>
    </x:xf>
    <x:xf numFmtId="0" fontId="5" fillId="4" borderId="22" xfId="0" applyNumberFormat="1" applyFont="1" applyFill="1" applyBorder="1" applyAlignment="1">
      <x:alignment vertical="center" wrapText="1"/>
    </x:xf>
    <x:xf numFmtId="0" fontId="5" fillId="4" borderId="23" xfId="0" applyNumberFormat="1" applyFont="1" applyFill="1" applyBorder="1" applyAlignment="1">
      <x:alignment vertical="center" wrapText="1"/>
    </x:xf>
    <x:xf numFmtId="0" fontId="5" fillId="4" borderId="21" xfId="0" applyNumberFormat="1" applyFont="1" applyFill="1" applyBorder="1" applyAlignment="1">
      <x:alignment horizontal="center" vertical="center" wrapText="1"/>
    </x:xf>
    <x:xf numFmtId="0" fontId="5" fillId="4" borderId="22" xfId="0" applyNumberFormat="1" applyFont="1" applyFill="1" applyBorder="1" applyAlignment="1">
      <x:alignment horizontal="center" vertical="center" wrapText="1"/>
    </x:xf>
    <x:xf numFmtId="0" fontId="5" fillId="4" borderId="23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8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16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18" xfId="0" applyNumberFormat="1" applyFont="1" applyFill="1" applyBorder="1" applyAlignment="1">
      <x:alignment vertical="center" wrapText="1"/>
    </x:xf>
    <x:xf numFmtId="0" fontId="5" fillId="6" borderId="19" xfId="0" applyNumberFormat="1" applyFont="1" applyFill="1" applyBorder="1" applyAlignment="1">
      <x:alignment vertical="center" wrapText="1"/>
    </x:xf>
    <x:xf numFmtId="0" fontId="5" fillId="6" borderId="20" xfId="0" applyNumberFormat="1" applyFont="1" applyFill="1" applyBorder="1" applyAlignment="1">
      <x:alignment vertical="center" wrapText="1"/>
    </x:xf>
    <x:xf numFmtId="0" fontId="5" fillId="6" borderId="18" xfId="0" applyNumberFormat="1" applyFont="1" applyFill="1" applyBorder="1" applyAlignment="1">
      <x:alignment horizontal="center" vertical="center" wrapText="1"/>
    </x:xf>
    <x:xf numFmtId="0" fontId="5" fillId="6" borderId="19" xfId="0" applyNumberFormat="1" applyFont="1" applyFill="1" applyBorder="1" applyAlignment="1">
      <x:alignment horizontal="center" vertical="center" wrapText="1"/>
    </x:xf>
    <x:xf numFmtId="0" fontId="5" fillId="6" borderId="20" xfId="0" applyNumberFormat="1" applyFont="1" applyFill="1" applyBorder="1" applyAlignment="1">
      <x:alignment horizontal="center" vertical="center" wrapText="1"/>
    </x:xf>
    <x:xf numFmtId="0" fontId="2" fillId="6" borderId="10" xfId="0" applyNumberFormat="1" applyFont="1" applyFill="1" applyBorder="1" applyAlignment="1">
      <x:alignment vertical="center" wrapText="1"/>
    </x:xf>
    <x:xf numFmtId="0" fontId="2" fillId="6" borderId="11" xfId="0" applyNumberFormat="1" applyFont="1" applyFill="1" applyBorder="1" applyAlignment="1">
      <x:alignment vertical="center" wrapText="1"/>
    </x:xf>
    <x:xf numFmtId="0" fontId="2" fillId="6" borderId="12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6" borderId="21" xfId="0" applyNumberFormat="1" applyFont="1" applyFill="1" applyBorder="1" applyAlignment="1">
      <x:alignment vertical="center" wrapText="1"/>
    </x:xf>
    <x:xf numFmtId="0" fontId="5" fillId="6" borderId="22" xfId="0" applyNumberFormat="1" applyFont="1" applyFill="1" applyBorder="1" applyAlignment="1">
      <x:alignment vertical="center" wrapText="1"/>
    </x:xf>
    <x:xf numFmtId="0" fontId="5" fillId="6" borderId="23" xfId="0" applyNumberFormat="1" applyFont="1" applyFill="1" applyBorder="1" applyAlignment="1">
      <x:alignment vertical="center" wrapText="1"/>
    </x:xf>
    <x:xf numFmtId="0" fontId="5" fillId="6" borderId="21" xfId="0" applyNumberFormat="1" applyFont="1" applyFill="1" applyBorder="1" applyAlignment="1">
      <x:alignment horizontal="center" vertical="center" wrapText="1"/>
    </x:xf>
    <x:xf numFmtId="0" fontId="5" fillId="6" borderId="22" xfId="0" applyNumberFormat="1" applyFont="1" applyFill="1" applyBorder="1" applyAlignment="1">
      <x:alignment horizontal="center" vertical="center" wrapText="1"/>
    </x:xf>
    <x:xf numFmtId="0" fontId="5" fillId="6" borderId="23" xfId="0" applyNumberFormat="1" applyFont="1" applyFill="1" applyBorder="1" applyAlignment="1">
      <x:alignment horizontal="center" vertical="center" wrapText="1"/>
    </x:xf>
    <x:xf numFmtId="201" fontId="2" fillId="0" borderId="8" xfId="0" applyNumberFormat="1" applyFont="1" applyFill="1" applyBorder="1" applyAlignment="1">
      <x:alignment vertical="center" wrapText="1"/>
    </x:xf>
    <x:xf numFmtId="201" fontId="2" fillId="0" borderId="9" xfId="0" applyNumberFormat="1" applyFont="1" applyFill="1" applyBorder="1" applyAlignment="1">
      <x:alignment vertical="center" wrapText="1"/>
    </x:xf>
    <x:xf numFmtId="201" fontId="2" fillId="0" borderId="16" xfId="0" applyNumberFormat="1" applyFont="1" applyFill="1" applyBorder="1" applyAlignment="1">
      <x:alignment vertical="center" wrapText="1"/>
    </x:xf>
    <x:xf numFmtId="201" fontId="2" fillId="0" borderId="1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5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 wrapText="1"/>
    </x:xf>
    <x:xf numFmtId="0" fontId="6" fillId="0" borderId="15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6" xfId="0" applyNumberFormat="1" applyFont="1" applyFill="1" applyBorder="1" applyAlignment="1">
      <x:alignment vertical="center" wrapText="1"/>
    </x:xf>
    <x:xf numFmtId="0" fontId="6" fillId="7" borderId="13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2" fillId="7" borderId="14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 applyAlignment="1">
      <x:alignment vertical="center" wrapText="1"/>
    </x:xf>
    <x:xf numFmtId="0" fontId="2" fillId="7" borderId="9" xfId="0" applyNumberFormat="1" applyFont="1" applyFill="1" applyBorder="1" applyAlignment="1">
      <x:alignment vertical="center" wrapText="1"/>
    </x:xf>
    <x:xf numFmtId="0" fontId="6" fillId="7" borderId="15" xfId="0" applyNumberFormat="1" applyFont="1" applyFill="1" applyBorder="1" applyAlignment="1">
      <x:alignment horizontal="center" vertical="center" wrapText="1"/>
    </x:xf>
    <x:xf numFmtId="0" fontId="2" fillId="7" borderId="16" xfId="0" applyNumberFormat="1" applyFont="1" applyFill="1" applyBorder="1" applyAlignment="1">
      <x:alignment vertical="center" wrapText="1"/>
    </x:xf>
    <x:xf numFmtId="0" fontId="2" fillId="7" borderId="17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16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16" xfId="0" applyNumberFormat="1" applyFont="1" applyFill="1" applyBorder="1" applyAlignment="1">
      <x:alignment vertical="center" wrapText="1"/>
    </x:xf>
    <x:xf numFmtId="0" fontId="2" fillId="7" borderId="7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2" fillId="7" borderId="15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7" fillId="7" borderId="8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7" fillId="7" borderId="16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6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6" fillId="8" borderId="7" xfId="0" applyNumberFormat="1" applyFont="1" applyFill="1" applyBorder="1" applyAlignment="1">
      <x:alignment horizontal="center" vertical="center" wrapText="1"/>
    </x:xf>
    <x:xf numFmtId="0" fontId="2" fillId="8" borderId="8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0" fontId="6" fillId="8" borderId="13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vertical="center" wrapText="1"/>
    </x:xf>
    <x:xf numFmtId="0" fontId="2" fillId="8" borderId="14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6" fillId="8" borderId="15" xfId="0" applyNumberFormat="1" applyFont="1" applyFill="1" applyBorder="1" applyAlignment="1">
      <x:alignment horizontal="center" vertical="center" wrapText="1"/>
    </x:xf>
    <x:xf numFmtId="0" fontId="2" fillId="8" borderId="16" xfId="0" applyNumberFormat="1" applyFont="1" applyFill="1" applyBorder="1" applyAlignment="1">
      <x:alignment vertical="center" wrapText="1"/>
    </x:xf>
    <x:xf numFmtId="0" fontId="8" fillId="8" borderId="16" xfId="0" applyNumberFormat="1" applyFont="1" applyFill="1" applyBorder="1" applyAlignment="1">
      <x:alignment vertical="center" wrapText="1"/>
    </x:xf>
    <x:xf numFmtId="0" fontId="2" fillId="8" borderId="17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vertical="center" wrapText="1"/>
    </x:xf>
    <x:xf numFmtId="0" fontId="6" fillId="8" borderId="7" xfId="0" applyNumberFormat="1" applyFont="1" applyFill="1" applyBorder="1" applyAlignment="1">
      <x:alignment vertical="center" wrapText="1"/>
    </x:xf>
    <x:xf numFmtId="0" fontId="6" fillId="8" borderId="13" xfId="0" applyNumberFormat="1" applyFont="1" applyFill="1" applyBorder="1" applyAlignment="1">
      <x:alignment vertical="center" wrapText="1"/>
    </x:xf>
    <x:xf numFmtId="0" fontId="6" fillId="8" borderId="15" xfId="0" applyNumberFormat="1" applyFont="1" applyFill="1" applyBorder="1" applyAlignment="1">
      <x:alignment vertical="center" wrapText="1"/>
    </x:xf>
    <x:xf numFmtId="0" fontId="2" fillId="8" borderId="5" xfId="0" applyNumberFormat="1" applyFont="1" applyFill="1" applyBorder="1" applyAlignment="1">
      <x:alignment vertical="center" wrapText="1"/>
    </x:xf>
    <x:xf numFmtId="0" fontId="2" fillId="8" borderId="7" xfId="0" applyNumberFormat="1" applyFont="1" applyFill="1" applyBorder="1" applyAlignment="1">
      <x:alignment vertical="center" wrapText="1"/>
    </x:xf>
    <x:xf numFmtId="0" fontId="2" fillId="8" borderId="13" xfId="0" applyNumberFormat="1" applyFont="1" applyFill="1" applyBorder="1" applyAlignment="1">
      <x:alignment vertical="center" wrapText="1"/>
    </x:xf>
    <x:xf numFmtId="0" fontId="2" fillId="8" borderId="15" xfId="0" applyNumberFormat="1" applyFont="1" applyFill="1" applyBorder="1" applyAlignment="1">
      <x:alignment vertical="center" wrapText="1"/>
    </x:xf>
    <x:xf numFmtId="201" fontId="2" fillId="8" borderId="0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201" fontId="7" fillId="8" borderId="8" xfId="0" applyNumberFormat="1" applyFont="1" applyFill="1" applyBorder="1" applyAlignment="1">
      <x:alignment vertical="center" wrapText="1"/>
    </x:xf>
    <x:xf numFmtId="201" fontId="2" fillId="8" borderId="1" xfId="0" applyNumberFormat="1" applyFont="1" applyFill="1" applyBorder="1" applyAlignment="1">
      <x:alignment vertical="center" wrapText="1"/>
    </x:xf>
    <x:xf numFmtId="0" fontId="7" fillId="8" borderId="15" xfId="0" applyNumberFormat="1" applyFont="1" applyFill="1" applyBorder="1" applyAlignment="1">
      <x:alignment vertical="center" wrapText="1"/>
    </x:xf>
    <x:xf numFmtId="201" fontId="7" fillId="8" borderId="1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2d463102864ab0" /><Relationship Type="http://schemas.openxmlformats.org/officeDocument/2006/relationships/theme" Target="/xl/theme/theme1.xml" Id="R5016adbc00ba428b" /><Relationship Type="http://schemas.openxmlformats.org/officeDocument/2006/relationships/sharedStrings" Target="/xl/sharedStrings.xml" Id="R5583da1e5c134dd0" /><Relationship Type="http://schemas.openxmlformats.org/officeDocument/2006/relationships/worksheet" Target="/xl/worksheets/sheet1.xml" Id="R8c7e84aa3b514a04" /><Relationship Type="http://schemas.openxmlformats.org/officeDocument/2006/relationships/worksheet" Target="/xl/worksheets/sheet2.xml" Id="R94a8eb213a9848df" /><Relationship Type="http://schemas.openxmlformats.org/officeDocument/2006/relationships/worksheet" Target="/xl/worksheets/sheet3.xml" Id="Rc40da08b0fca4394" /><Relationship Type="http://schemas.openxmlformats.org/officeDocument/2006/relationships/worksheet" Target="/xl/worksheets/sheet4.xml" Id="R43c10c889ddd4278" /><Relationship Type="http://schemas.openxmlformats.org/officeDocument/2006/relationships/worksheet" Target="/xl/worksheets/sheet5.xml" Id="R186f1276ed484823" /><Relationship Type="http://schemas.openxmlformats.org/officeDocument/2006/relationships/worksheet" Target="/xl/worksheets/sheet6.xml" Id="R87120de37d234dac" /><Relationship Type="http://schemas.openxmlformats.org/officeDocument/2006/relationships/worksheet" Target="/xl/worksheets/sheet7.xml" Id="R86bf9859e6314d6c" /><Relationship Type="http://schemas.openxmlformats.org/officeDocument/2006/relationships/worksheet" Target="/xl/worksheets/sheet8.xml" Id="R51d964edb62f437c" /><Relationship Type="http://schemas.openxmlformats.org/officeDocument/2006/relationships/worksheet" Target="/xl/worksheets/sheet9.xml" Id="R1a9c672a2ef34b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22" hidden="0" customWidth="1"/>
    <x:col min="8" max="8" width="14" hidden="0" customWidth="1"/>
    <x:col min="9" max="9" width="12" hidden="0" customWidth="1"/>
    <x:col min="10" max="10" width="12" hidden="0" customWidth="1"/>
  </x:cols>
  <x:sheetData>
    <x:row r="1" ht="34" customHeight="1">
      <x:c r="A1" s="5" t="str">
        <x:v>笑禾AI · 无人机系统工程三级课程体系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3" t="str">
        <x:v>学校合作汇报版｜统一知识树、三级深度、20课时×90分钟｜平台主线：Crazyflie；硬件补充：ESP32/开源硬件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24" customHeight="1">
      <x:c r="A4" s="20" t="str">
        <x:v>三级版本</x:v>
      </x:c>
      <x:c r="B4" s="20"/>
      <x:c r="C4" s="20"/>
      <x:c r="D4" s="20"/>
      <x:c r="E4" s="20"/>
      <x:c r="F4" s="20" t="str">
        <x:v>标准课时</x:v>
      </x:c>
      <x:c r="G4" s="20"/>
      <x:c r="H4" s="20"/>
      <x:c r="I4" s="20"/>
      <x:c r="J4" s="20"/>
    </x:row>
    <x:row r="5" ht="34" customHeight="1">
      <x:c r="A5" s="28" t="str">
        <x:v>L1 小学 / L2 初高中 / L3 专业</x:v>
      </x:c>
      <x:c r="B5" s="28"/>
      <x:c r="C5" s="28"/>
      <x:c r="D5" s="28"/>
      <x:c r="E5" s="28"/>
      <x:c r="F5" s="28" t="str">
        <x:v>20课 × 90分钟 = 30小时</x:v>
      </x:c>
      <x:c r="G5" s="28"/>
      <x:c r="H5" s="28"/>
      <x:c r="I5" s="28"/>
      <x:c r="J5" s="28"/>
    </x:row>
    <x:row r="7" ht="24" customHeight="1">
      <x:c r="A7" s="36" t="str">
        <x:v>公共模块</x:v>
      </x:c>
      <x:c r="B7" s="36"/>
      <x:c r="C7" s="36"/>
      <x:c r="D7" s="36"/>
      <x:c r="E7" s="36"/>
      <x:c r="F7" s="36" t="str">
        <x:v>教学主线</x:v>
      </x:c>
      <x:c r="G7" s="36"/>
      <x:c r="H7" s="36"/>
      <x:c r="I7" s="36"/>
      <x:c r="J7" s="36"/>
    </x:row>
    <x:row r="8" ht="34" customHeight="1">
      <x:c r="A8" s="43" t="str">
        <x:v>6大模块 + 1个硬件拓展模块</x:v>
      </x:c>
      <x:c r="B8" s="43"/>
      <x:c r="C8" s="43"/>
      <x:c r="D8" s="43"/>
      <x:c r="E8" s="43"/>
      <x:c r="F8" s="43" t="str">
        <x:v>任务 → 学科知识 → 原理 → 实践 → 数据 → 项目</x:v>
      </x:c>
      <x:c r="G8" s="43"/>
      <x:c r="H8" s="43"/>
      <x:c r="I8" s="43"/>
      <x:c r="J8" s="43"/>
    </x:row>
    <x:row r="10" ht="24" customHeight="1">
      <x:c r="A10" s="48" t="str">
        <x:v>课程设计层级：统一“体系 → 模块 → 项目案例 → 知识点/能力”的四层结构</x:v>
      </x:c>
      <x:c r="B10" s="48"/>
      <x:c r="C10" s="48"/>
      <x:c r="D10" s="48"/>
      <x:c r="E10" s="48"/>
      <x:c r="F10" s="48"/>
      <x:c r="G10" s="48"/>
      <x:c r="H10" s="48"/>
      <x:c r="I10" s="48"/>
      <x:c r="J10" s="48"/>
    </x:row>
    <x:row r="11" ht="30" customHeight="1">
      <x:c r="A11" s="113" t="str">
        <x:v>层级</x:v>
      </x:c>
      <x:c r="B11" s="114" t="str">
        <x:v>说明</x:v>
      </x:c>
      <x:c r="C11" s="114" t="str">
        <x:v>示例</x:v>
      </x:c>
      <x:c r="D11" s="115" t="str">
        <x:v>作用</x:v>
      </x:c>
    </x:row>
    <x:row r="12" ht="44" customHeight="1">
      <x:c r="A12" s="128" t="str">
        <x:v>第1层：课程体系</x:v>
      </x:c>
      <x:c r="B12" s="72" t="str">
        <x:v>按学习深度分三级，不按年龄机械分割</x:v>
      </x:c>
      <x:c r="C12" s="72" t="str">
        <x:v>L1基础 / L2进阶 / L3专业</x:v>
      </x:c>
      <x:c r="D12" s="73" t="str">
        <x:v>便于小学、初高中、成人/大学生灵活进入</x:v>
      </x:c>
    </x:row>
    <x:row r="13" ht="44" customHeight="1">
      <x:c r="A13" s="128" t="str">
        <x:v>第2层：公共模块</x:v>
      </x:c>
      <x:c r="B13" s="72" t="str">
        <x:v>所有版本复用同一模块树，只改变深度</x:v>
      </x:c>
      <x:c r="C13" s="72" t="str">
        <x:v>飞行物理、感知数据、反馈控制、开源硬件、自主飞行</x:v>
      </x:c>
      <x:c r="D13" s="73" t="str">
        <x:v>避免三个版本互相割裂</x:v>
      </x:c>
    </x:row>
    <x:row r="14" ht="44" customHeight="1">
      <x:c r="A14" s="128" t="str">
        <x:v>第3层：项目案例</x:v>
      </x:c>
      <x:c r="B14" s="72" t="str">
        <x:v>每个模块用可见任务推进</x:v>
      </x:c>
      <x:c r="C14" s="72" t="str">
        <x:v>定高、飞正方形、避障、自动降落、姿态调参</x:v>
      </x:c>
      <x:c r="D14" s="73" t="str">
        <x:v>先有问题，再引出知识</x:v>
      </x:c>
    </x:row>
    <x:row r="15" ht="44" customHeight="1">
      <x:c r="A15" s="129" t="str">
        <x:v>第4层：知识/能力</x:v>
      </x:c>
      <x:c r="B15" s="75" t="str">
        <x:v>把数学、物理、编程、工程知识嵌入项目</x:v>
      </x:c>
      <x:c r="C15" s="75" t="str">
        <x:v>坐标/向量/PID/IMU/滤波/通信</x:v>
      </x:c>
      <x:c r="D15" s="76" t="str">
        <x:v>学到一半也能形成阶段成果</x:v>
      </x:c>
    </x:row>
    <x:row r="16" ht="44" customHeight="1"/>
    <x:row r="17" ht="44" customHeight="1">
      <x:c r="A17" s="48" t="str">
        <x:v>三级版本默认组合（模块可按学生基础拆装）</x:v>
      </x:c>
      <x:c r="B17" s="48"/>
      <x:c r="C17" s="48"/>
      <x:c r="D17" s="48"/>
      <x:c r="E17" s="48"/>
      <x:c r="F17" s="48"/>
      <x:c r="G17" s="48"/>
      <x:c r="H17" s="48"/>
      <x:c r="I17" s="48"/>
      <x:c r="J17" s="48"/>
    </x:row>
    <x:row r="18" ht="44" customHeight="1">
      <x:c r="A18" s="113" t="str">
        <x:v>版本</x:v>
      </x:c>
      <x:c r="B18" s="114" t="str">
        <x:v>适合对象</x:v>
      </x:c>
      <x:c r="C18" s="114" t="str">
        <x:v>默认模块组合</x:v>
      </x:c>
      <x:c r="D18" s="114" t="str">
        <x:v>学科深度</x:v>
      </x:c>
      <x:c r="E18" s="114" t="str">
        <x:v>实践重点</x:v>
      </x:c>
      <x:c r="F18" s="114" t="str">
        <x:v>标准课时</x:v>
      </x:c>
      <x:c r="G18" s="115" t="str">
        <x:v>阶段出口</x:v>
      </x:c>
    </x:row>
    <x:row r="19" ht="44" customHeight="1">
      <x:c r="A19" s="132" t="str">
        <x:v>L1 基础版</x:v>
      </x:c>
      <x:c r="B19" s="72" t="str">
        <x:v>小学3-6年级 / 零基础</x:v>
      </x:c>
      <x:c r="C19" s="72" t="str">
        <x:v>系统认知 + 飞行物理L1 + 感知L1 + 控制L1 + 硬件启蒙 + 自主任务L1</x:v>
      </x:c>
      <x:c r="D19" s="72" t="str">
        <x:v>力、速度、角度、坐标、比例、图表</x:v>
      </x:c>
      <x:c r="E19" s="72" t="str">
        <x:v>安全飞行、编程路线、传感器观察、ESP32启蒙</x:v>
      </x:c>
      <x:c r="F19" s="136" t="n">
        <x:v>20</x:v>
      </x:c>
      <x:c r="G19" s="73" t="str">
        <x:v>完成自主飞行闯关/作品集</x:v>
      </x:c>
    </x:row>
    <x:row r="20" ht="44" customHeight="1">
      <x:c r="A20" s="132" t="str">
        <x:v>L2 进阶版</x:v>
      </x:c>
      <x:c r="B20" s="72" t="str">
        <x:v>初高中 / 成人技术小白</x:v>
      </x:c>
      <x:c r="C20" s="72" t="str">
        <x:v>L1核心速通 + 飞行物理L2 + 空间数学 + 状态估计 + PID + 硬件通信 + 自主控制</x:v>
      </x:c>
      <x:c r="D20" s="72" t="str">
        <x:v>牛顿定律、向量、三角、函数、简单矩阵、变化率</x:v>
      </x:c>
      <x:c r="E20" s="72" t="str">
        <x:v>PID调参、IMU数据、滤波、轨迹/避障</x:v>
      </x:c>
      <x:c r="F20" s="136" t="n">
        <x:v>20</x:v>
      </x:c>
      <x:c r="G20" s="73" t="str">
        <x:v>完成自主飞行控制项目</x:v>
      </x:c>
    </x:row>
    <x:row r="21" ht="44" customHeight="1">
      <x:c r="A21" s="133" t="str">
        <x:v>L3 专业版</x:v>
      </x:c>
      <x:c r="B21" s="75" t="str">
        <x:v>大学生 / 研究生 / 成人进阶</x:v>
      </x:c>
      <x:c r="C21" s="75" t="str">
        <x:v>专业系统架构 + 刚体动力学 + 姿态解算 + Kalman/EKF + 串级PID + ROS2/自主系统</x:v>
      </x:c>
      <x:c r="D21" s="75" t="str">
        <x:v>微积分、线代、概率、控制理论（按需补）</x:v>
      </x:c>
      <x:c r="E21" s="75" t="str">
        <x:v>源码、估计器、控制器、ROS2、定位/集群</x:v>
      </x:c>
      <x:c r="F21" s="137" t="n">
        <x:v>20</x:v>
      </x:c>
      <x:c r="G21" s="76" t="str">
        <x:v>能读改飞控源码并完成科研型项目</x:v>
      </x:c>
    </x:row>
    <x:row r="23" ht="24" customHeight="1">
      <x:c r="A23" s="48" t="str">
        <x:v>每节90分钟固定教学闭环</x:v>
      </x:c>
      <x:c r="B23" s="48"/>
      <x:c r="C23" s="48"/>
      <x:c r="D23" s="48"/>
      <x:c r="E23" s="48"/>
      <x:c r="F23" s="48"/>
      <x:c r="G23" s="48"/>
      <x:c r="H23" s="48"/>
      <x:c r="I23" s="48"/>
      <x:c r="J23" s="48"/>
    </x:row>
    <x:row r="24" ht="30" customHeight="1">
      <x:c r="A24" s="149" t="str">
        <x:v>环节</x:v>
      </x:c>
      <x:c r="B24" s="150" t="str">
        <x:v>任务导入</x:v>
      </x:c>
      <x:c r="C24" s="150" t="str">
        <x:v>学科知识</x:v>
      </x:c>
      <x:c r="D24" s="150" t="str">
        <x:v>无人机原理</x:v>
      </x:c>
      <x:c r="E24" s="150" t="str">
        <x:v>实验/编程</x:v>
      </x:c>
      <x:c r="F24" s="150" t="str">
        <x:v>数据分析</x:v>
      </x:c>
      <x:c r="G24" s="150" t="str">
        <x:v>项目记录</x:v>
      </x:c>
      <x:c r="H24" s="151" t="str">
        <x:v>合计</x:v>
      </x:c>
    </x:row>
    <x:row r="25">
      <x:c r="A25" s="133" t="str">
        <x:v>时间</x:v>
      </x:c>
      <x:c r="B25" s="164" t="n">
        <x:v>10</x:v>
      </x:c>
      <x:c r="C25" s="164" t="n">
        <x:v>15</x:v>
      </x:c>
      <x:c r="D25" s="164" t="n">
        <x:v>15</x:v>
      </x:c>
      <x:c r="E25" s="164" t="n">
        <x:v>35</x:v>
      </x:c>
      <x:c r="F25" s="164" t="n">
        <x:v>10</x:v>
      </x:c>
      <x:c r="G25" s="164" t="n">
        <x:v>5</x:v>
      </x:c>
      <x:c r="H25" s="165" t="n">
        <x:f>SUM(B25:G25)</x:f>
        <x:v>90</x:v>
      </x:c>
    </x:row>
    <x:row r="27" ht="30" customHeight="1">
      <x:c r="A27" s="170" t="str">
        <x:v>课程评价原则：不以“会不会背算法公式”为目标，而以“能解释现象、能看懂数据、能完成任务、能逐步进入源码”为主线。</x:v>
      </x:c>
      <x:c r="B27" s="170"/>
      <x:c r="C27" s="170"/>
      <x:c r="D27" s="170"/>
      <x:c r="E27" s="170"/>
      <x:c r="F27" s="170"/>
      <x:c r="G27" s="170"/>
      <x:c r="H27" s="170"/>
      <x:c r="I27" s="170"/>
      <x:c r="J27" s="170"/>
    </x:row>
  </x:sheetData>
  <x:mergeCells>
    <x:mergeCell ref="A1:J1"/>
    <x:mergeCell ref="A2:J2"/>
    <x:mergeCell ref="A4:E4"/>
    <x:mergeCell ref="A5:E5"/>
    <x:mergeCell ref="F4:J4"/>
    <x:mergeCell ref="F5:J5"/>
    <x:mergeCell ref="A7:E7"/>
    <x:mergeCell ref="A8:E8"/>
    <x:mergeCell ref="F7:J7"/>
    <x:mergeCell ref="F8:J8"/>
    <x:mergeCell ref="A10:J10"/>
    <x:mergeCell ref="A17:J17"/>
    <x:mergeCell ref="A23:J23"/>
    <x:mergeCell ref="A27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1" hidden="0" customWidth="1"/>
    <x:col min="3" max="3" width="24" hidden="0" customWidth="1"/>
    <x:col min="4" max="4" width="24" hidden="0" customWidth="1"/>
    <x:col min="5" max="5" width="24" hidden="0" customWidth="1"/>
    <x:col min="6" max="6" width="28" hidden="0" customWidth="1"/>
    <x:col min="7" max="7" width="24" hidden="0" customWidth="1"/>
    <x:col min="8" max="8" width="11" hidden="0" customWidth="1"/>
    <x:col min="9" max="9" width="13" hidden="0" customWidth="1"/>
    <x:col min="10" max="10" width="12" hidden="0" customWidth="1"/>
    <x:col min="11" max="11" width="12" hidden="0" customWidth="1"/>
  </x:cols>
  <x:sheetData>
    <x:row r="1" ht="34" customHeight="1">
      <x:c r="A1" s="5" t="str">
        <x:v>公共知识树与模块化课程架构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A2" s="13" t="str">
        <x:v>同一知识树按 L1/L2/L3 三种深度展开；便于按年龄、基础、学校课时灵活组合。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0" customHeight="1">
      <x:c r="A4" s="113" t="str">
        <x:v>模块代码</x:v>
      </x:c>
      <x:c r="B4" s="114" t="str">
        <x:v>公共模块</x:v>
      </x:c>
      <x:c r="C4" s="114" t="str">
        <x:v>核心问题</x:v>
      </x:c>
      <x:c r="D4" s="114" t="str">
        <x:v>L1 基础深度</x:v>
      </x:c>
      <x:c r="E4" s="114" t="str">
        <x:v>L2 进阶深度</x:v>
      </x:c>
      <x:c r="F4" s="114" t="str">
        <x:v>L3 专业深度</x:v>
      </x:c>
      <x:c r="G4" s="114" t="str">
        <x:v>典型项目案例</x:v>
      </x:c>
      <x:c r="H4" s="114" t="str">
        <x:v>建议课时</x:v>
      </x:c>
      <x:c r="I4" s="115" t="str">
        <x:v>是否公共必修</x:v>
      </x:c>
    </x:row>
    <x:row r="5" ht="58" customHeight="1">
      <x:c r="A5" s="230" t="str">
        <x:v>M0</x:v>
      </x:c>
      <x:c r="B5" s="215" t="str">
        <x:v>系统认知与安全</x:v>
      </x:c>
      <x:c r="C5" s="215" t="str">
        <x:v>无人机由什么组成？怎样安全测试？</x:v>
      </x:c>
      <x:c r="D5" s="215" t="str">
        <x:v>认识机架、电机、桨、电池、飞控</x:v>
      </x:c>
      <x:c r="E5" s="215" t="str">
        <x:v>理解飞控链路与系统框图</x:v>
      </x:c>
      <x:c r="F5" s="215" t="str">
        <x:v>硬件/固件架构、日志、参数、实时系统</x:v>
      </x:c>
      <x:c r="G5" s="215" t="str">
        <x:v>拆解识别、首飞、安全检查</x:v>
      </x:c>
      <x:c r="H5" s="215" t="str">
        <x:v>1-2</x:v>
      </x:c>
      <x:c r="I5" s="216" t="str">
        <x:v>是</x:v>
      </x:c>
    </x:row>
    <x:row r="6" ht="58" customHeight="1">
      <x:c r="A6" s="230" t="str">
        <x:v>M1</x:v>
      </x:c>
      <x:c r="B6" s="215" t="str">
        <x:v>飞行物理与空间数学</x:v>
      </x:c>
      <x:c r="C6" s="215" t="str">
        <x:v>为什么能飞？怎样描述运动和旋转？</x:v>
      </x:c>
      <x:c r="D6" s="215" t="str">
        <x:v>重力、推力、方向、速度、角度、坐标</x:v>
      </x:c>
      <x:c r="E6" s="215" t="str">
        <x:v>F=ma、力矩、向量、三角、简单矩阵</x:v>
      </x:c>
      <x:c r="F6" s="215" t="str">
        <x:v>刚体动力学、转动惯量、角动量、旋转矩阵、四元数</x:v>
      </x:c>
      <x:c r="G6" s="215" t="str">
        <x:v>定高、定向、飞几何图形</x:v>
      </x:c>
      <x:c r="H6" s="215" t="str">
        <x:v>4-5</x:v>
      </x:c>
      <x:c r="I6" s="216" t="str">
        <x:v>是</x:v>
      </x:c>
    </x:row>
    <x:row r="7" ht="58" customHeight="1">
      <x:c r="A7" s="230" t="str">
        <x:v>M2</x:v>
      </x:c>
      <x:c r="B7" s="215" t="str">
        <x:v>传感器与数据</x:v>
      </x:c>
      <x:c r="C7" s="215" t="str">
        <x:v>飞机怎样知道自己在动、在歪、在多高？</x:v>
      </x:c>
      <x:c r="D7" s="215" t="str">
        <x:v>加速度/旋转/距离的直观观察</x:v>
      </x:c>
      <x:c r="E7" s="215" t="str">
        <x:v>IMU、噪声、误差、滤波、姿态估计概念</x:v>
      </x:c>
      <x:c r="F7" s="215" t="str">
        <x:v>传感器模型、融合、Kalman/EKF、状态估计</x:v>
      </x:c>
      <x:c r="G7" s="215" t="str">
        <x:v>IMU数据曲线、滤波对比</x:v>
      </x:c>
      <x:c r="H7" s="215" t="str">
        <x:v>3-4</x:v>
      </x:c>
      <x:c r="I7" s="216" t="str">
        <x:v>是</x:v>
      </x:c>
    </x:row>
    <x:row r="8" ht="58" customHeight="1">
      <x:c r="A8" s="230" t="str">
        <x:v>M3</x:v>
      </x:c>
      <x:c r="B8" s="215" t="str">
        <x:v>反馈控制与飞控算法</x:v>
      </x:c>
      <x:c r="C8" s="215" t="str">
        <x:v>飞机歪了以后怎样自动纠正？</x:v>
      </x:c>
      <x:c r="D8" s="215" t="str">
        <x:v>目标-实际-纠正的反馈思想</x:v>
      </x:c>
      <x:c r="E8" s="215" t="str">
        <x:v>P/PID、震荡、超调、串级PID概念</x:v>
      </x:c>
      <x:c r="F8" s="215" t="str">
        <x:v>控制环、系统辨识、控制器源码、轨迹跟踪</x:v>
      </x:c>
      <x:c r="G8" s="215" t="str">
        <x:v>定高PID、姿态调参</x:v>
      </x:c>
      <x:c r="H8" s="215" t="str">
        <x:v>4-5</x:v>
      </x:c>
      <x:c r="I8" s="216" t="str">
        <x:v>是</x:v>
      </x:c>
    </x:row>
    <x:row r="9" ht="58" customHeight="1">
      <x:c r="A9" s="230" t="str">
        <x:v>M4</x:v>
      </x:c>
      <x:c r="B9" s="215" t="str">
        <x:v>开源硬件与嵌入式</x:v>
      </x:c>
      <x:c r="C9" s="215" t="str">
        <x:v>飞控与传感器、电机如何连接通信？</x:v>
      </x:c>
      <x:c r="D9" s="215" t="str">
        <x:v>ESP32、LED、传感器、焊接启蒙</x:v>
      </x:c>
      <x:c r="E9" s="215" t="str">
        <x:v>I2C/UART/SPI/PWM、IMU、电机驱动</x:v>
      </x:c>
      <x:c r="F9" s="215" t="str">
        <x:v>STM32、C/C++、RTOS、驱动、PCB/电机控制</x:v>
      </x:c>
      <x:c r="G9" s="215" t="str">
        <x:v>桌面飞控实验台</x:v>
      </x:c>
      <x:c r="H9" s="215" t="str">
        <x:v>2-4</x:v>
      </x:c>
      <x:c r="I9" s="216" t="str">
        <x:v>可拆装</x:v>
      </x:c>
    </x:row>
    <x:row r="10" ht="58" customHeight="1">
      <x:c r="A10" s="230" t="str">
        <x:v>M5</x:v>
      </x:c>
      <x:c r="B10" s="215" t="str">
        <x:v>自主飞行与综合项目</x:v>
      </x:c>
      <x:c r="C10" s="215" t="str">
        <x:v>怎样让无人机自己完成任务？</x:v>
      </x:c>
      <x:c r="D10" s="215" t="str">
        <x:v>顺序、条件、路线任务</x:v>
      </x:c>
      <x:c r="E10" s="215" t="str">
        <x:v>航点、避障、轨迹、定位基础</x:v>
      </x:c>
      <x:c r="F10" s="215" t="str">
        <x:v>ROS2、定位、规划、视觉/SLAM、集群</x:v>
      </x:c>
      <x:c r="G10" s="215" t="str">
        <x:v>快递任务、巡检、编队</x:v>
      </x:c>
      <x:c r="H10" s="215" t="str">
        <x:v>3-5</x:v>
      </x:c>
      <x:c r="I10" s="216" t="str">
        <x:v>是</x:v>
      </x:c>
    </x:row>
    <x:row r="11" ht="58" customHeight="1">
      <x:c r="A11" s="231" t="str">
        <x:v>H</x:v>
      </x:c>
      <x:c r="B11" s="219" t="str">
        <x:v>硬件工程拓展包</x:v>
      </x:c>
      <x:c r="C11" s="219" t="str">
        <x:v>怎样把“会用”扩展到“会搭、会焊、会调”？</x:v>
      </x:c>
      <x:c r="D11" s="219" t="str">
        <x:v>模块连接与安全焊接</x:v>
      </x:c>
      <x:c r="E11" s="219" t="str">
        <x:v>电源、电机、通信、IMU实验</x:v>
      </x:c>
      <x:c r="F11" s="219" t="str">
        <x:v>飞控板/扩展板/自组平台</x:v>
      </x:c>
      <x:c r="G11" s="219" t="str">
        <x:v>ESP32+IMU+电机桌面实验平台</x:v>
      </x:c>
      <x:c r="H11" s="219" t="str">
        <x:v>4-8</x:v>
      </x:c>
      <x:c r="I11" s="221" t="str">
        <x:v>选修</x:v>
      </x:c>
    </x:row>
    <x:row r="13" ht="24" customHeight="1">
      <x:c r="A13" s="48" t="str">
        <x:v>三级深度不是三套割裂内容：同一项目可重复出现，但知识解释逐级升维</x:v>
      </x:c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</x:row>
    <x:row r="14" ht="30" customHeight="1">
      <x:c r="A14" s="149" t="str">
        <x:v>同一案例</x:v>
      </x:c>
      <x:c r="B14" s="150" t="str">
        <x:v>L1小学/基础</x:v>
      </x:c>
      <x:c r="C14" s="150" t="str">
        <x:v>L2初高中/进阶</x:v>
      </x:c>
      <x:c r="D14" s="151" t="str">
        <x:v>L3大学/专业</x:v>
      </x:c>
    </x:row>
    <x:row r="15" ht="48" customHeight="1">
      <x:c r="A15" s="234" t="str">
        <x:v>定高1米</x:v>
      </x:c>
      <x:c r="B15" s="215" t="str">
        <x:v>理解“高了降、低了升”，认识高度传感器和反馈</x:v>
      </x:c>
      <x:c r="C15" s="215" t="str">
        <x:v>目标值-实际值-误差；P/PID调参；观察超调与稳定</x:v>
      </x:c>
      <x:c r="D15" s="216" t="str">
        <x:v>高度动力学模型、状态估计、控制环、参数/源码分析</x:v>
      </x:c>
    </x:row>
    <x:row r="16" ht="48" customHeight="1">
      <x:c r="A16" s="234" t="str">
        <x:v>姿态稳定</x:v>
      </x:c>
      <x:c r="B16" s="215" t="str">
        <x:v>飞机歪了，传感器发现后自动纠正</x:v>
      </x:c>
      <x:c r="C16" s="215" t="str">
        <x:v>IMU、欧拉角、滤波、角度环/角速度环概念</x:v>
      </x:c>
      <x:c r="D16" s="216" t="str">
        <x:v>四元数、姿态解算、EKF、串级控制器源码</x:v>
      </x:c>
    </x:row>
    <x:row r="17" ht="48" customHeight="1">
      <x:c r="A17" s="235" t="str">
        <x:v>自动避障</x:v>
      </x:c>
      <x:c r="B17" s="219" t="str">
        <x:v>距离太近就转向</x:v>
      </x:c>
      <x:c r="C17" s="219" t="str">
        <x:v>条件判断、距离传感器、航点/避障逻辑</x:v>
      </x:c>
      <x:c r="D17" s="221" t="str">
        <x:v>定位、路径规划、ROS2/SLAM或视觉算法</x:v>
      </x:c>
    </x:row>
  </x:sheetData>
  <x:mergeCells>
    <x:mergeCell ref="A1:K1"/>
    <x:mergeCell ref="A2:K2"/>
    <x:mergeCell ref="A13:K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24" hidden="0" customWidth="1"/>
    <x:col min="4" max="4" width="26" hidden="0" customWidth="1"/>
    <x:col min="5" max="5" width="28" hidden="0" customWidth="1"/>
    <x:col min="6" max="6" width="26" hidden="0" customWidth="1"/>
    <x:col min="7" max="7" width="22" hidden="0" customWidth="1"/>
    <x:col min="8" max="8" width="22" hidden="0" customWidth="1"/>
    <x:col min="9" max="9" width="22" hidden="0" customWidth="1"/>
    <x:col min="10" max="10" width="10" hidden="0" customWidth="1"/>
    <x:col min="11" max="11" width="18" hidden="0" customWidth="1"/>
  </x:cols>
  <x:sheetData>
    <x:row r="1" ht="34" customHeight="1">
      <x:c r="A1" s="5" t="str">
        <x:v>L1 基础版｜无人机飞行科学与智能编程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A2" s="13" t="str">
        <x:v>小学3-6年级为主；成人/初高中零基础可速通。重点：看得见、做得出、讲得明白。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0" customHeight="1">
      <x:c r="A4" s="113" t="str">
        <x:v>课次</x:v>
      </x:c>
      <x:c r="B4" s="114" t="str">
        <x:v>模块</x:v>
      </x:c>
      <x:c r="C4" s="114" t="str">
        <x:v>任务/项目案例</x:v>
      </x:c>
      <x:c r="D4" s="114" t="str">
        <x:v>学科知识嵌入</x:v>
      </x:c>
      <x:c r="E4" s="114" t="str">
        <x:v>无人机/算法知识</x:v>
      </x:c>
      <x:c r="F4" s="114" t="str">
        <x:v>Crazyflie/实践</x:v>
      </x:c>
      <x:c r="G4" s="114" t="str">
        <x:v>编程/硬件</x:v>
      </x:c>
      <x:c r="H4" s="114" t="str">
        <x:v>阶段产出</x:v>
      </x:c>
      <x:c r="I4" s="114" t="str">
        <x:v>阶段检测</x:v>
      </x:c>
      <x:c r="J4" s="114" t="str">
        <x:v>深度标签</x:v>
      </x:c>
      <x:c r="K4" s="115" t="str">
        <x:v>备注/可替换</x:v>
      </x:c>
    </x:row>
    <x:row r="5" ht="60" customHeight="1">
      <x:c r="A5" s="214" t="n">
        <x:v>1</x:v>
      </x:c>
      <x:c r="B5" s="215" t="str">
        <x:v>M0 系统认知</x:v>
      </x:c>
      <x:c r="C5" s="215" t="str">
        <x:v>认识四轴：安全检查 + 首次起飞</x:v>
      </x:c>
      <x:c r="D5" s="215" t="str">
        <x:v>方向、观察、简单分类</x:v>
      </x:c>
      <x:c r="E5" s="215" t="str">
        <x:v>机架/电机/螺旋桨/电池/飞控</x:v>
      </x:c>
      <x:c r="F5" s="215" t="str">
        <x:v>Crazyflie部件识别；安全区内起降</x:v>
      </x:c>
      <x:c r="G5" s="215" t="str">
        <x:v>图形化或Python发送起飞/降落</x:v>
      </x:c>
      <x:c r="H5" s="215" t="str">
        <x:v>完成首飞与安全清单</x:v>
      </x:c>
      <x:c r="I5" s="215" t="str"/>
      <x:c r="J5" s="215" t="str">
        <x:v>L1</x:v>
      </x:c>
      <x:c r="K5" s="216" t="str">
        <x:v>零基础必修</x:v>
      </x:c>
    </x:row>
    <x:row r="6" ht="60" customHeight="1">
      <x:c r="A6" s="214" t="n">
        <x:v>2</x:v>
      </x:c>
      <x:c r="B6" s="215" t="str">
        <x:v>M1 飞行物理</x:v>
      </x:c>
      <x:c r="C6" s="215" t="str">
        <x:v>螺旋桨为什么能把飞机托起来？</x:v>
      </x:c>
      <x:c r="D6" s="215" t="str">
        <x:v>重力、大小比较、比例</x:v>
      </x:c>
      <x:c r="E6" s="215" t="str">
        <x:v>推力、重力、四电机共同作用</x:v>
      </x:c>
      <x:c r="F6" s="215" t="str">
        <x:v>比较不同油门/电机输出的现象</x:v>
      </x:c>
      <x:c r="G6" s="215" t="str">
        <x:v>读取简单电机/高度数据</x:v>
      </x:c>
      <x:c r="H6" s="215" t="str">
        <x:v>解释“为什么会上升/下降”</x:v>
      </x:c>
      <x:c r="I6" s="215" t="str"/>
      <x:c r="J6" s="215" t="str">
        <x:v>L1</x:v>
      </x:c>
      <x:c r="K6" s="216" t="str"/>
    </x:row>
    <x:row r="7" ht="60" customHeight="1">
      <x:c r="A7" s="214" t="n">
        <x:v>3</x:v>
      </x:c>
      <x:c r="B7" s="215" t="str">
        <x:v>M1 飞行物理</x:v>
      </x:c>
      <x:c r="C7" s="215" t="str">
        <x:v>让飞机向前、向后、左、右</x:v>
      </x:c>
      <x:c r="D7" s="215" t="str">
        <x:v>角度、方向、坐标初步</x:v>
      </x:c>
      <x:c r="E7" s="215" t="str">
        <x:v>Roll/Pitch/Yaw直观概念</x:v>
      </x:c>
      <x:c r="F7" s="215" t="str">
        <x:v>小角度移动与方向挑战</x:v>
      </x:c>
      <x:c r="G7" s="215" t="str">
        <x:v>方向指令与参数</x:v>
      </x:c>
      <x:c r="H7" s="215" t="str">
        <x:v>能用坐标描述移动</x:v>
      </x:c>
      <x:c r="I7" s="215" t="str"/>
      <x:c r="J7" s="215" t="str">
        <x:v>L1</x:v>
      </x:c>
      <x:c r="K7" s="216" t="str"/>
    </x:row>
    <x:row r="8" ht="60" customHeight="1">
      <x:c r="A8" s="184" t="n">
        <x:v>4</x:v>
      </x:c>
      <x:c r="B8" s="185" t="str">
        <x:v>M1 飞行物理</x:v>
      </x:c>
      <x:c r="C8" s="185" t="str">
        <x:v>精准起飞与定点降落挑战</x:v>
      </x:c>
      <x:c r="D8" s="185" t="str">
        <x:v>距离、时间、速度=路程/时间</x:v>
      </x:c>
      <x:c r="E8" s="185" t="str">
        <x:v>稳定、重心、环境影响</x:v>
      </x:c>
      <x:c r="F8" s="185" t="str">
        <x:v>测量起飞/降落误差</x:v>
      </x:c>
      <x:c r="G8" s="185" t="str">
        <x:v>记录数据到表格</x:v>
      </x:c>
      <x:c r="H8" s="185" t="str">
        <x:v>第1阶段：飞行科学小实验报告</x:v>
      </x:c>
      <x:c r="I8" s="190" t="str">
        <x:v>测：安全+方向+速度理解；不合格则补1-3课</x:v>
      </x:c>
      <x:c r="J8" s="185" t="str">
        <x:v>L1</x:v>
      </x:c>
      <x:c r="K8" s="186" t="str"/>
    </x:row>
    <x:row r="9" ht="60" customHeight="1">
      <x:c r="A9" s="214" t="n">
        <x:v>5</x:v>
      </x:c>
      <x:c r="B9" s="215" t="str">
        <x:v>M5 编程任务</x:v>
      </x:c>
      <x:c r="C9" s="215" t="str">
        <x:v>程序让无人机按顺序完成动作</x:v>
      </x:c>
      <x:c r="D9" s="215" t="str">
        <x:v>顺序、步骤、参数</x:v>
      </x:c>
      <x:c r="E9" s="215" t="str">
        <x:v>飞行动作序列</x:v>
      </x:c>
      <x:c r="F9" s="215" t="str">
        <x:v>起飞→前进→转向→降落</x:v>
      </x:c>
      <x:c r="G9" s="215" t="str">
        <x:v>Python/图形化：顺序程序</x:v>
      </x:c>
      <x:c r="H9" s="215" t="str">
        <x:v>完成第一个自动任务</x:v>
      </x:c>
      <x:c r="I9" s="215" t="str"/>
      <x:c r="J9" s="215" t="str">
        <x:v>L1</x:v>
      </x:c>
      <x:c r="K9" s="216" t="str"/>
    </x:row>
    <x:row r="10" ht="60" customHeight="1">
      <x:c r="A10" s="214" t="n">
        <x:v>6</x:v>
      </x:c>
      <x:c r="B10" s="215" t="str">
        <x:v>M1+M5</x:v>
      </x:c>
      <x:c r="C10" s="215" t="str">
        <x:v>飞一个正方形</x:v>
      </x:c>
      <x:c r="D10" s="215" t="str">
        <x:v>正方形、边长、90°、周长</x:v>
      </x:c>
      <x:c r="E10" s="215" t="str">
        <x:v>航向角与相对移动</x:v>
      </x:c>
      <x:c r="F10" s="215" t="str">
        <x:v>飞4条边并回到起点</x:v>
      </x:c>
      <x:c r="G10" s="215" t="str">
        <x:v>循环/重复指令</x:v>
      </x:c>
      <x:c r="H10" s="215" t="str">
        <x:v>几何图形飞行作品</x:v>
      </x:c>
      <x:c r="I10" s="215" t="str"/>
      <x:c r="J10" s="215" t="str">
        <x:v>L1</x:v>
      </x:c>
      <x:c r="K10" s="216" t="str"/>
    </x:row>
    <x:row r="11" ht="60" customHeight="1">
      <x:c r="A11" s="214" t="n">
        <x:v>7</x:v>
      </x:c>
      <x:c r="B11" s="215" t="str">
        <x:v>M1+M2</x:v>
      </x:c>
      <x:c r="C11" s="215" t="str">
        <x:v>谁飞得更快：速度实验</x:v>
      </x:c>
      <x:c r="D11" s="215" t="str">
        <x:v>速度、时间、平均值、简单图表</x:v>
      </x:c>
      <x:c r="E11" s="215" t="str">
        <x:v>飞行速度与轨迹误差</x:v>
      </x:c>
      <x:c r="F11" s="215" t="str">
        <x:v>不同速度参数对比</x:v>
      </x:c>
      <x:c r="G11" s="215" t="str">
        <x:v>数据记录和折线图概念</x:v>
      </x:c>
      <x:c r="H11" s="215" t="str">
        <x:v>速度实验数据表</x:v>
      </x:c>
      <x:c r="I11" s="215" t="str"/>
      <x:c r="J11" s="215" t="str">
        <x:v>L1</x:v>
      </x:c>
      <x:c r="K11" s="216" t="str"/>
    </x:row>
    <x:row r="12" ht="60" customHeight="1">
      <x:c r="A12" s="184" t="n">
        <x:v>8</x:v>
      </x:c>
      <x:c r="B12" s="185" t="str">
        <x:v>M5 编程任务</x:v>
      </x:c>
      <x:c r="C12" s="185" t="str">
        <x:v>无人机快递员：按路线送达</x:v>
      </x:c>
      <x:c r="D12" s="185" t="str">
        <x:v>坐标、路线规划、估算</x:v>
      </x:c>
      <x:c r="E12" s="185" t="str">
        <x:v>航点/任务流程概念</x:v>
      </x:c>
      <x:c r="F12" s="185" t="str">
        <x:v>多航点任务</x:v>
      </x:c>
      <x:c r="G12" s="185" t="str">
        <x:v>条件/循环基础</x:v>
      </x:c>
      <x:c r="H12" s="185" t="str">
        <x:v>第2阶段：自动路线闯关</x:v>
      </x:c>
      <x:c r="I12" s="190" t="str">
        <x:v>测：坐标+程序顺序；可分流补编程</x:v>
      </x:c>
      <x:c r="J12" s="185" t="str">
        <x:v>L1</x:v>
      </x:c>
      <x:c r="K12" s="186" t="str"/>
    </x:row>
    <x:row r="13" ht="60" customHeight="1">
      <x:c r="A13" s="214" t="n">
        <x:v>9</x:v>
      </x:c>
      <x:c r="B13" s="215" t="str">
        <x:v>M2 感知数据</x:v>
      </x:c>
      <x:c r="C13" s="215" t="str">
        <x:v>飞机怎么知道自己歪了？</x:v>
      </x:c>
      <x:c r="D13" s="215" t="str">
        <x:v>方向变化、数值正负</x:v>
      </x:c>
      <x:c r="E13" s="215" t="str">
        <x:v>加速度计、陀螺仪、IMU</x:v>
      </x:c>
      <x:c r="F13" s="215" t="str">
        <x:v>手持倾斜Crazyflie观察数据</x:v>
      </x:c>
      <x:c r="G13" s="215" t="str">
        <x:v>读取传感器数值</x:v>
      </x:c>
      <x:c r="H13" s="215" t="str">
        <x:v>IMU观察记录</x:v>
      </x:c>
      <x:c r="I13" s="215" t="str"/>
      <x:c r="J13" s="215" t="str">
        <x:v>L1</x:v>
      </x:c>
      <x:c r="K13" s="216" t="str"/>
    </x:row>
    <x:row r="14" ht="60" customHeight="1">
      <x:c r="A14" s="214" t="n">
        <x:v>10</x:v>
      </x:c>
      <x:c r="B14" s="215" t="str">
        <x:v>M2 感知数据</x:v>
      </x:c>
      <x:c r="C14" s="215" t="str">
        <x:v>把飞行变成曲线</x:v>
      </x:c>
      <x:c r="D14" s="215" t="str">
        <x:v>坐标轴、时间序列、峰值</x:v>
      </x:c>
      <x:c r="E14" s="215" t="str">
        <x:v>高度/加速度随时间变化</x:v>
      </x:c>
      <x:c r="F14" s="215" t="str">
        <x:v>飞一次、看一次数据曲线</x:v>
      </x:c>
      <x:c r="G14" s="215" t="str">
        <x:v>Python读取日志/图表</x:v>
      </x:c>
      <x:c r="H14" s="215" t="str">
        <x:v>一张飞行数据图</x:v>
      </x:c>
      <x:c r="I14" s="215" t="str"/>
      <x:c r="J14" s="215" t="str">
        <x:v>L1</x:v>
      </x:c>
      <x:c r="K14" s="216" t="str"/>
    </x:row>
    <x:row r="15" ht="60" customHeight="1">
      <x:c r="A15" s="214" t="n">
        <x:v>11</x:v>
      </x:c>
      <x:c r="B15" s="215" t="str">
        <x:v>M2 感知数据</x:v>
      </x:c>
      <x:c r="C15" s="215" t="str">
        <x:v>无人机如何“看见”障碍？</x:v>
      </x:c>
      <x:c r="D15" s="215" t="str">
        <x:v>距离、阈值、大小比较</x:v>
      </x:c>
      <x:c r="E15" s="215" t="str">
        <x:v>测距传感器/距离数据</x:v>
      </x:c>
      <x:c r="F15" s="215" t="str">
        <x:v>接近障碍时观察距离变化</x:v>
      </x:c>
      <x:c r="G15" s="215" t="str">
        <x:v>if条件判断</x:v>
      </x:c>
      <x:c r="H15" s="215" t="str">
        <x:v>距离报警/转向逻辑</x:v>
      </x:c>
      <x:c r="I15" s="215" t="str"/>
      <x:c r="J15" s="215" t="str">
        <x:v>L1</x:v>
      </x:c>
      <x:c r="K15" s="216" t="str"/>
    </x:row>
    <x:row r="16" ht="60" customHeight="1">
      <x:c r="A16" s="184" t="n">
        <x:v>12</x:v>
      </x:c>
      <x:c r="B16" s="185" t="str">
        <x:v>M2 感知数据</x:v>
      </x:c>
      <x:c r="C16" s="185" t="str">
        <x:v>两个不完美信息怎样变得更可靠？</x:v>
      </x:c>
      <x:c r="D16" s="185" t="str">
        <x:v>平均、误差、估计概念</x:v>
      </x:c>
      <x:c r="E16" s="185" t="str">
        <x:v>传感器融合/滤波直观概念</x:v>
      </x:c>
      <x:c r="F16" s="185" t="str">
        <x:v>比较原始数据与平滑数据</x:v>
      </x:c>
      <x:c r="G16" s="185" t="str">
        <x:v>移动平均概念</x:v>
      </x:c>
      <x:c r="H16" s="185" t="str">
        <x:v>第3阶段：传感器小研究</x:v>
      </x:c>
      <x:c r="I16" s="190" t="str">
        <x:v>测：能读图、解释噪声；不要求算法推导</x:v>
      </x:c>
      <x:c r="J16" s="185" t="str">
        <x:v>L1</x:v>
      </x:c>
      <x:c r="K16" s="186" t="str"/>
    </x:row>
    <x:row r="17" ht="60" customHeight="1">
      <x:c r="A17" s="214" t="n">
        <x:v>13</x:v>
      </x:c>
      <x:c r="B17" s="215" t="str">
        <x:v>M3 反馈控制</x:v>
      </x:c>
      <x:c r="C17" s="215" t="str">
        <x:v>飞机歪了为什么能自己回来？</x:v>
      </x:c>
      <x:c r="D17" s="215" t="str">
        <x:v>目标值、实际值、差值</x:v>
      </x:c>
      <x:c r="E17" s="215" t="str">
        <x:v>闭环反馈概念</x:v>
      </x:c>
      <x:c r="F17" s="215" t="str">
        <x:v>手动扰动后观察自动恢复</x:v>
      </x:c>
      <x:c r="G17" s="215" t="str">
        <x:v>目标-误差-纠正逻辑</x:v>
      </x:c>
      <x:c r="H17" s="215" t="str">
        <x:v>反馈控制流程图</x:v>
      </x:c>
      <x:c r="I17" s="215" t="str"/>
      <x:c r="J17" s="215" t="str">
        <x:v>L1</x:v>
      </x:c>
      <x:c r="K17" s="216" t="str"/>
    </x:row>
    <x:row r="18" ht="60" customHeight="1">
      <x:c r="A18" s="214" t="n">
        <x:v>14</x:v>
      </x:c>
      <x:c r="B18" s="215" t="str">
        <x:v>M3 反馈控制</x:v>
      </x:c>
      <x:c r="C18" s="215" t="str">
        <x:v>PID其实是在怎么“纠错”？</x:v>
      </x:c>
      <x:c r="D18" s="215" t="str">
        <x:v>比例、累计、变化快慢的直觉</x:v>
      </x:c>
      <x:c r="E18" s="215" t="str">
        <x:v>P/I/D只讲含义，不讲微积分</x:v>
      </x:c>
      <x:c r="F18" s="215" t="str">
        <x:v>改变简单参数观察响应</x:v>
      </x:c>
      <x:c r="G18" s="215" t="str">
        <x:v>参数实验</x:v>
      </x:c>
      <x:c r="H18" s="215" t="str">
        <x:v>能用自己的话解释PID</x:v>
      </x:c>
      <x:c r="I18" s="215" t="str"/>
      <x:c r="J18" s="215" t="str">
        <x:v>L1</x:v>
      </x:c>
      <x:c r="K18" s="216" t="str"/>
    </x:row>
    <x:row r="19" ht="60" customHeight="1">
      <x:c r="A19" s="214" t="n">
        <x:v>15</x:v>
      </x:c>
      <x:c r="B19" s="215" t="str">
        <x:v>M4 开源硬件</x:v>
      </x:c>
      <x:c r="C19" s="215" t="str">
        <x:v>ESP32控制灯和传感器</x:v>
      </x:c>
      <x:c r="D19" s="215" t="str">
        <x:v>输入/输出、开关逻辑</x:v>
      </x:c>
      <x:c r="E19" s="215" t="str">
        <x:v>主控、GPIO、传感器</x:v>
      </x:c>
      <x:c r="F19" s="215" t="str">
        <x:v>ESP32+LED+按钮/距离传感器</x:v>
      </x:c>
      <x:c r="G19" s="215" t="str">
        <x:v>MicroPython基础</x:v>
      </x:c>
      <x:c r="H19" s="215" t="str">
        <x:v>开源硬件小装置</x:v>
      </x:c>
      <x:c r="I19" s="215" t="str"/>
      <x:c r="J19" s="215" t="str">
        <x:v>L1</x:v>
      </x:c>
      <x:c r="K19" s="216" t="str">
        <x:v>可独立成硬件模块</x:v>
      </x:c>
    </x:row>
    <x:row r="20" ht="60" customHeight="1">
      <x:c r="A20" s="184" t="n">
        <x:v>16</x:v>
      </x:c>
      <x:c r="B20" s="185" t="str">
        <x:v>M4 开源硬件</x:v>
      </x:c>
      <x:c r="C20" s="185" t="str">
        <x:v>第一次焊接：做一个无人机辅助小板</x:v>
      </x:c>
      <x:c r="D20" s="185" t="str">
        <x:v>电路连接、正负极、安全</x:v>
      </x:c>
      <x:c r="E20" s="185" t="str">
        <x:v>3.3V/5V/GND、简单信号</x:v>
      </x:c>
      <x:c r="F20" s="185" t="str">
        <x:v>焊排针/传感器；通电测试</x:v>
      </x:c>
      <x:c r="G20" s="185" t="str">
        <x:v>基础焊接+万用表概念</x:v>
      </x:c>
      <x:c r="H20" s="185" t="str">
        <x:v>第4阶段：硬件制作成果</x:v>
      </x:c>
      <x:c r="I20" s="190" t="str">
        <x:v>测：安全接线+能解释输入输出</x:v>
      </x:c>
      <x:c r="J20" s="185" t="str">
        <x:v>L1</x:v>
      </x:c>
      <x:c r="K20" s="186" t="str">
        <x:v>不要求自制能飞飞控</x:v>
      </x:c>
    </x:row>
    <x:row r="21" ht="60" customHeight="1">
      <x:c r="A21" s="214" t="n">
        <x:v>17</x:v>
      </x:c>
      <x:c r="B21" s="215" t="str">
        <x:v>M5 自主飞行</x:v>
      </x:c>
      <x:c r="C21" s="215" t="str">
        <x:v>航点任务：自动巡检三个目标点</x:v>
      </x:c>
      <x:c r="D21" s="215" t="str">
        <x:v>坐标、距离、最短/合理路线</x:v>
      </x:c>
      <x:c r="E21" s="215" t="str">
        <x:v>航点、任务状态</x:v>
      </x:c>
      <x:c r="F21" s="215" t="str">
        <x:v>多点自动飞行</x:v>
      </x:c>
      <x:c r="G21" s="215" t="str">
        <x:v>函数/任务封装</x:v>
      </x:c>
      <x:c r="H21" s="215" t="str">
        <x:v>自主巡检V1</x:v>
      </x:c>
      <x:c r="I21" s="215" t="str"/>
      <x:c r="J21" s="215" t="str">
        <x:v>L1</x:v>
      </x:c>
      <x:c r="K21" s="216" t="str"/>
    </x:row>
    <x:row r="22" ht="60" customHeight="1">
      <x:c r="A22" s="214" t="n">
        <x:v>18</x:v>
      </x:c>
      <x:c r="B22" s="215" t="str">
        <x:v>M5 自主飞行</x:v>
      </x:c>
      <x:c r="C22" s="215" t="str">
        <x:v>加入障碍：会躲开的巡检机</x:v>
      </x:c>
      <x:c r="D22" s="215" t="str">
        <x:v>条件、逻辑判断</x:v>
      </x:c>
      <x:c r="E22" s="215" t="str">
        <x:v>避障策略概念</x:v>
      </x:c>
      <x:c r="F22" s="215" t="str">
        <x:v>测距+转向/绕行</x:v>
      </x:c>
      <x:c r="G22" s="215" t="str">
        <x:v>if/else与简单状态机</x:v>
      </x:c>
      <x:c r="H22" s="215" t="str">
        <x:v>自主巡检V2</x:v>
      </x:c>
      <x:c r="I22" s="215" t="str"/>
      <x:c r="J22" s="215" t="str">
        <x:v>L1</x:v>
      </x:c>
      <x:c r="K22" s="216" t="str"/>
    </x:row>
    <x:row r="23" ht="60" customHeight="1">
      <x:c r="A23" s="214" t="n">
        <x:v>19</x:v>
      </x:c>
      <x:c r="B23" s="215" t="str">
        <x:v>M5 综合项目</x:v>
      </x:c>
      <x:c r="C23" s="215" t="str">
        <x:v>团队项目：设计一个真实任务</x:v>
      </x:c>
      <x:c r="D23" s="215" t="str">
        <x:v>测量、估算、图表综合</x:v>
      </x:c>
      <x:c r="E23" s="215" t="str">
        <x:v>系统组合：感知+控制+任务</x:v>
      </x:c>
      <x:c r="F23" s="215" t="str">
        <x:v>自由任务调试</x:v>
      </x:c>
      <x:c r="G23" s="215" t="str">
        <x:v>程序整合/硬件可选</x:v>
      </x:c>
      <x:c r="H23" s="215" t="str">
        <x:v>项目演示版</x:v>
      </x:c>
      <x:c r="I23" s="215" t="str"/>
      <x:c r="J23" s="215" t="str">
        <x:v>L1</x:v>
      </x:c>
      <x:c r="K23" s="216" t="str">
        <x:v>例：快递/巡检/救援</x:v>
      </x:c>
    </x:row>
    <x:row r="24" ht="60" customHeight="1">
      <x:c r="A24" s="192" t="n">
        <x:v>20</x:v>
      </x:c>
      <x:c r="B24" s="193" t="str">
        <x:v>M5 综合项目</x:v>
      </x:c>
      <x:c r="C24" s="193" t="str">
        <x:v>最终挑战 + 展示答辩</x:v>
      </x:c>
      <x:c r="D24" s="193" t="str">
        <x:v>用数据解释结果</x:v>
      </x:c>
      <x:c r="E24" s="193" t="str">
        <x:v>系统思维与工程迭代</x:v>
      </x:c>
      <x:c r="F24" s="193" t="str">
        <x:v>现场演示与故障复盘</x:v>
      </x:c>
      <x:c r="G24" s="193" t="str">
        <x:v>整理代码/图片/数据</x:v>
      </x:c>
      <x:c r="H24" s="193" t="str">
        <x:v>作品集+证书/评价</x:v>
      </x:c>
      <x:c r="I24" s="198" t="str">
        <x:v>终测：任务完成+解释原理+安全规范</x:v>
      </x:c>
      <x:c r="J24" s="193" t="str">
        <x:v>L1</x:v>
      </x:c>
      <x:c r="K24" s="194" t="str">
        <x:v>可衔接L2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24" hidden="0" customWidth="1"/>
    <x:col min="4" max="4" width="26" hidden="0" customWidth="1"/>
    <x:col min="5" max="5" width="28" hidden="0" customWidth="1"/>
    <x:col min="6" max="6" width="26" hidden="0" customWidth="1"/>
    <x:col min="7" max="7" width="22" hidden="0" customWidth="1"/>
    <x:col min="8" max="8" width="22" hidden="0" customWidth="1"/>
    <x:col min="9" max="9" width="22" hidden="0" customWidth="1"/>
    <x:col min="10" max="10" width="10" hidden="0" customWidth="1"/>
    <x:col min="11" max="11" width="18" hidden="0" customWidth="1"/>
  </x:cols>
  <x:sheetData>
    <x:row r="1" ht="34" customHeight="1">
      <x:c r="A1" s="5" t="str">
        <x:v>L2 进阶版｜无人机数学物理与智能控制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A2" s="13" t="str">
        <x:v>初高中为主；成人小白也可从本版进入。把矩阵、四元数、PID、Kalman等“降维”到能理解、能实验的程度。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0" customHeight="1">
      <x:c r="A4" s="113" t="str">
        <x:v>课次</x:v>
      </x:c>
      <x:c r="B4" s="114" t="str">
        <x:v>模块</x:v>
      </x:c>
      <x:c r="C4" s="114" t="str">
        <x:v>任务/项目案例</x:v>
      </x:c>
      <x:c r="D4" s="114" t="str">
        <x:v>学科知识嵌入</x:v>
      </x:c>
      <x:c r="E4" s="114" t="str">
        <x:v>无人机/算法知识</x:v>
      </x:c>
      <x:c r="F4" s="114" t="str">
        <x:v>Crazyflie/实践</x:v>
      </x:c>
      <x:c r="G4" s="114" t="str">
        <x:v>编程/硬件</x:v>
      </x:c>
      <x:c r="H4" s="114" t="str">
        <x:v>阶段产出</x:v>
      </x:c>
      <x:c r="I4" s="114" t="str">
        <x:v>阶段检测</x:v>
      </x:c>
      <x:c r="J4" s="114" t="str">
        <x:v>深度标签</x:v>
      </x:c>
      <x:c r="K4" s="115" t="str">
        <x:v>备注/可替换</x:v>
      </x:c>
    </x:row>
    <x:row r="5" ht="60" customHeight="1">
      <x:c r="A5" s="214" t="n">
        <x:v>1</x:v>
      </x:c>
      <x:c r="B5" s="215" t="str">
        <x:v>M0 系统认知</x:v>
      </x:c>
      <x:c r="C5" s="215" t="str">
        <x:v>从系统框图看一架四轴</x:v>
      </x:c>
      <x:c r="D5" s="215" t="str">
        <x:v>变量、函数关系、单位</x:v>
      </x:c>
      <x:c r="E5" s="215" t="str">
        <x:v>飞控→传感器→控制器→电机→飞机→传感器的闭环</x:v>
      </x:c>
      <x:c r="F5" s="215" t="str">
        <x:v>读取Crazyflie参数/日志</x:v>
      </x:c>
      <x:c r="G5" s="215" t="str">
        <x:v>Python连接、命令、日志</x:v>
      </x:c>
      <x:c r="H5" s="215" t="str">
        <x:v>画出完整系统框图</x:v>
      </x:c>
      <x:c r="I5" s="215" t="str"/>
      <x:c r="J5" s="215" t="str">
        <x:v>L2</x:v>
      </x:c>
      <x:c r="K5" s="216" t="str">
        <x:v>零基础先补L1核心1-3课</x:v>
      </x:c>
    </x:row>
    <x:row r="6" ht="60" customHeight="1">
      <x:c r="A6" s="214" t="n">
        <x:v>2</x:v>
      </x:c>
      <x:c r="B6" s="215" t="str">
        <x:v>M1 动力学</x:v>
      </x:c>
      <x:c r="C6" s="215" t="str">
        <x:v>推力和加速度：飞机为什么会上升</x:v>
      </x:c>
      <x:c r="D6" s="215" t="str">
        <x:v>F=ma、质量、加速度、函数图像</x:v>
      </x:c>
      <x:c r="E6" s="215" t="str">
        <x:v>推力、重力、空气动力学定性</x:v>
      </x:c>
      <x:c r="F6" s="215" t="str">
        <x:v>不同载荷/油门下高度响应</x:v>
      </x:c>
      <x:c r="G6" s="215" t="str">
        <x:v>记录高度-时间数据</x:v>
      </x:c>
      <x:c r="H6" s="215" t="str">
        <x:v>F=ma飞行实验报告</x:v>
      </x:c>
      <x:c r="I6" s="215" t="str"/>
      <x:c r="J6" s="215" t="str">
        <x:v>L2</x:v>
      </x:c>
      <x:c r="K6" s="216" t="str"/>
    </x:row>
    <x:row r="7" ht="60" customHeight="1">
      <x:c r="A7" s="214" t="n">
        <x:v>3</x:v>
      </x:c>
      <x:c r="B7" s="215" t="str">
        <x:v>M1 动力学</x:v>
      </x:c>
      <x:c r="C7" s="215" t="str">
        <x:v>Roll/Pitch/Yaw：为什么一边快就会倾斜</x:v>
      </x:c>
      <x:c r="D7" s="215" t="str">
        <x:v>力矩、杠杆、转动趋势</x:v>
      </x:c>
      <x:c r="E7" s="215" t="str">
        <x:v>刚体转动、重心、力矩概念</x:v>
      </x:c>
      <x:c r="F7" s="215" t="str">
        <x:v>改变姿态目标观察运动</x:v>
      </x:c>
      <x:c r="G7" s="215" t="str">
        <x:v>读取角度/角速度</x:v>
      </x:c>
      <x:c r="H7" s="215" t="str">
        <x:v>姿态三轴解释图</x:v>
      </x:c>
      <x:c r="I7" s="215" t="str"/>
      <x:c r="J7" s="215" t="str">
        <x:v>L2</x:v>
      </x:c>
      <x:c r="K7" s="216" t="str"/>
    </x:row>
    <x:row r="8" ht="60" customHeight="1">
      <x:c r="A8" s="184" t="n">
        <x:v>4</x:v>
      </x:c>
      <x:c r="B8" s="185" t="str">
        <x:v>M1 动力学</x:v>
      </x:c>
      <x:c r="C8" s="185" t="str">
        <x:v>转动惯量与载荷位置实验</x:v>
      </x:c>
      <x:c r="D8" s="185" t="str">
        <x:v>质量分布、比例、变量控制</x:v>
      </x:c>
      <x:c r="E8" s="185" t="str">
        <x:v>转动惯量/角动量做直观解释</x:v>
      </x:c>
      <x:c r="F8" s="185" t="str">
        <x:v>模拟或安全台架对比</x:v>
      </x:c>
      <x:c r="G8" s="185" t="str">
        <x:v>实验数据表</x:v>
      </x:c>
      <x:c r="H8" s="185" t="str">
        <x:v>第1阶段：飞行动力学研究</x:v>
      </x:c>
      <x:c r="I8" s="190" t="str">
        <x:v>测：F=ma/力矩/三轴姿态；不要求刚体方程</x:v>
      </x:c>
      <x:c r="J8" s="185" t="str">
        <x:v>L2</x:v>
      </x:c>
      <x:c r="K8" s="186" t="str"/>
    </x:row>
    <x:row r="9" ht="60" customHeight="1">
      <x:c r="A9" s="214" t="n">
        <x:v>5</x:v>
      </x:c>
      <x:c r="B9" s="215" t="str">
        <x:v>M1 空间数学</x:v>
      </x:c>
      <x:c r="C9" s="215" t="str">
        <x:v>无人机的XYZ坐标与向量</x:v>
      </x:c>
      <x:c r="D9" s="215" t="str">
        <x:v>坐标、向量、分量</x:v>
      </x:c>
      <x:c r="E9" s="215" t="str">
        <x:v>位置向量/速度向量</x:v>
      </x:c>
      <x:c r="F9" s="215" t="str">
        <x:v>用坐标给出航点</x:v>
      </x:c>
      <x:c r="G9" s="215" t="str">
        <x:v>Python列表/向量表示</x:v>
      </x:c>
      <x:c r="H9" s="215" t="str">
        <x:v>三维航点任务</x:v>
      </x:c>
      <x:c r="I9" s="215" t="str"/>
      <x:c r="J9" s="215" t="str">
        <x:v>L2</x:v>
      </x:c>
      <x:c r="K9" s="216" t="str"/>
    </x:row>
    <x:row r="10" ht="60" customHeight="1">
      <x:c r="A10" s="214" t="n">
        <x:v>6</x:v>
      </x:c>
      <x:c r="B10" s="215" t="str">
        <x:v>M1 空间数学</x:v>
      </x:c>
      <x:c r="C10" s="215" t="str">
        <x:v>三角函数如何帮助理解姿态</x:v>
      </x:c>
      <x:c r="D10" s="215" t="str">
        <x:v>sin/cos、直角三角形、分解</x:v>
      </x:c>
      <x:c r="E10" s="215" t="str">
        <x:v>姿态角与方向分量</x:v>
      </x:c>
      <x:c r="F10" s="215" t="str">
        <x:v>倾斜角度与位移关系实验</x:v>
      </x:c>
      <x:c r="G10" s="215" t="str">
        <x:v>计算/可视化</x:v>
      </x:c>
      <x:c r="H10" s="215" t="str">
        <x:v>三角函数应用卡</x:v>
      </x:c>
      <x:c r="I10" s="215" t="str"/>
      <x:c r="J10" s="215" t="str">
        <x:v>L2</x:v>
      </x:c>
      <x:c r="K10" s="216" t="str"/>
    </x:row>
    <x:row r="11" ht="60" customHeight="1">
      <x:c r="A11" s="214" t="n">
        <x:v>7</x:v>
      </x:c>
      <x:c r="B11" s="215" t="str">
        <x:v>M1 空间数学</x:v>
      </x:c>
      <x:c r="C11" s="215" t="str">
        <x:v>矩阵不是高深公式：它在做坐标变换</x:v>
      </x:c>
      <x:c r="D11" s="215" t="str">
        <x:v>矩阵入门、二维变换直觉</x:v>
      </x:c>
      <x:c r="E11" s="215" t="str">
        <x:v>旋转矩阵的用途</x:v>
      </x:c>
      <x:c r="F11" s="215" t="str">
        <x:v>二维/三维坐标变换演示</x:v>
      </x:c>
      <x:c r="G11" s="215" t="str">
        <x:v>Python简单矩阵运算</x:v>
      </x:c>
      <x:c r="H11" s="215" t="str">
        <x:v>坐标变换小程序</x:v>
      </x:c>
      <x:c r="I11" s="215" t="str"/>
      <x:c r="J11" s="215" t="str">
        <x:v>L2</x:v>
      </x:c>
      <x:c r="K11" s="216" t="str"/>
    </x:row>
    <x:row r="12" ht="60" customHeight="1">
      <x:c r="A12" s="184" t="n">
        <x:v>8</x:v>
      </x:c>
      <x:c r="B12" s="185" t="str">
        <x:v>M1 空间数学</x:v>
      </x:c>
      <x:c r="C12" s="185" t="str">
        <x:v>欧拉角与四元数：为什么还要另一种旋转表达</x:v>
      </x:c>
      <x:c r="D12" s="185" t="str">
        <x:v>角度组合、表示方法比较</x:v>
      </x:c>
      <x:c r="E12" s="185" t="str">
        <x:v>欧拉角、万向节锁概念；四元数只讲用途</x:v>
      </x:c>
      <x:c r="F12" s="185" t="str">
        <x:v>读取姿态并观察旋转表示</x:v>
      </x:c>
      <x:c r="G12" s="185" t="str">
        <x:v>数据转换/可视化</x:v>
      </x:c>
      <x:c r="H12" s="185" t="str">
        <x:v>第2阶段：空间数学飞行挑战</x:v>
      </x:c>
      <x:c r="I12" s="190" t="str">
        <x:v>测：向量/三角/矩阵用途；四元数不推导</x:v>
      </x:c>
      <x:c r="J12" s="185" t="str">
        <x:v>L2</x:v>
      </x:c>
      <x:c r="K12" s="186" t="str"/>
    </x:row>
    <x:row r="13" ht="60" customHeight="1">
      <x:c r="A13" s="214" t="n">
        <x:v>9</x:v>
      </x:c>
      <x:c r="B13" s="215" t="str">
        <x:v>M2 状态感知</x:v>
      </x:c>
      <x:c r="C13" s="215" t="str">
        <x:v>IMU原始数据为什么总在抖</x:v>
      </x:c>
      <x:c r="D13" s="215" t="str">
        <x:v>误差、平均值、方差直觉</x:v>
      </x:c>
      <x:c r="E13" s="215" t="str">
        <x:v>加速度计/陀螺仪、噪声、漂移</x:v>
      </x:c>
      <x:c r="F13" s="215" t="str">
        <x:v>静止/运动数据对比</x:v>
      </x:c>
      <x:c r="G13" s="215" t="str">
        <x:v>Python记录CSV/曲线</x:v>
      </x:c>
      <x:c r="H13" s="215" t="str">
        <x:v>IMU数据实验</x:v>
      </x:c>
      <x:c r="I13" s="215" t="str"/>
      <x:c r="J13" s="215" t="str">
        <x:v>L2</x:v>
      </x:c>
      <x:c r="K13" s="216" t="str"/>
    </x:row>
    <x:row r="14" ht="60" customHeight="1">
      <x:c r="A14" s="214" t="n">
        <x:v>10</x:v>
      </x:c>
      <x:c r="B14" s="215" t="str">
        <x:v>M2 滤波</x:v>
      </x:c>
      <x:c r="C14" s="215" t="str">
        <x:v>把噪声变小：移动平均与互补思想</x:v>
      </x:c>
      <x:c r="D14" s="215" t="str">
        <x:v>平均、权重、函数平滑</x:v>
      </x:c>
      <x:c r="E14" s="215" t="str">
        <x:v>低通/互补滤波直观概念</x:v>
      </x:c>
      <x:c r="F14" s="215" t="str">
        <x:v>原始曲线vs平滑曲线</x:v>
      </x:c>
      <x:c r="G14" s="215" t="str">
        <x:v>Python实现简单滤波</x:v>
      </x:c>
      <x:c r="H14" s="215" t="str">
        <x:v>滤波前后对比图</x:v>
      </x:c>
      <x:c r="I14" s="215" t="str"/>
      <x:c r="J14" s="215" t="str">
        <x:v>L2</x:v>
      </x:c>
      <x:c r="K14" s="216" t="str"/>
    </x:row>
    <x:row r="15" ht="60" customHeight="1">
      <x:c r="A15" s="214" t="n">
        <x:v>11</x:v>
      </x:c>
      <x:c r="B15" s="215" t="str">
        <x:v>M2 姿态估计</x:v>
      </x:c>
      <x:c r="C15" s="215" t="str">
        <x:v>飞机怎样根据IMU判断自己歪了多少</x:v>
      </x:c>
      <x:c r="D15" s="215" t="str">
        <x:v>多变量、误差修正</x:v>
      </x:c>
      <x:c r="E15" s="215" t="str">
        <x:v>姿态解算、传感器融合概念</x:v>
      </x:c>
      <x:c r="F15" s="215" t="str">
        <x:v>观察估计姿态与实际变化</x:v>
      </x:c>
      <x:c r="G15" s="215" t="str">
        <x:v>读取姿态估计结果</x:v>
      </x:c>
      <x:c r="H15" s="215" t="str">
        <x:v>姿态解算流程图</x:v>
      </x:c>
      <x:c r="I15" s="215" t="str"/>
      <x:c r="J15" s="215" t="str">
        <x:v>L2</x:v>
      </x:c>
      <x:c r="K15" s="216" t="str"/>
    </x:row>
    <x:row r="16" ht="60" customHeight="1">
      <x:c r="A16" s="184" t="n">
        <x:v>12</x:v>
      </x:c>
      <x:c r="B16" s="185" t="str">
        <x:v>M2 Kalman</x:v>
      </x:c>
      <x:c r="C16" s="185" t="str">
        <x:v>Kalman滤波：两个不太准的信息如何合成更靠谱结果</x:v>
      </x:c>
      <x:c r="D16" s="185" t="str">
        <x:v>预测、测量、权重、误差</x:v>
      </x:c>
      <x:c r="E16" s="185" t="str">
        <x:v>Kalman核心思想；不推导矩阵公式</x:v>
      </x:c>
      <x:c r="F16" s="185" t="str">
        <x:v>示例数据融合/仿真</x:v>
      </x:c>
      <x:c r="G16" s="185" t="str">
        <x:v>Python调用或简化模拟</x:v>
      </x:c>
      <x:c r="H16" s="185" t="str">
        <x:v>第3阶段：状态估计说明书</x:v>
      </x:c>
      <x:c r="I16" s="190" t="str">
        <x:v>测：能讲清“预测+测量+更新”</x:v>
      </x:c>
      <x:c r="J16" s="185" t="str">
        <x:v>L2</x:v>
      </x:c>
      <x:c r="K16" s="186" t="str"/>
    </x:row>
    <x:row r="17" ht="60" customHeight="1">
      <x:c r="A17" s="214" t="n">
        <x:v>13</x:v>
      </x:c>
      <x:c r="B17" s="215" t="str">
        <x:v>M3 反馈控制</x:v>
      </x:c>
      <x:c r="C17" s="215" t="str">
        <x:v>闭环控制：目标1米，实际0.8米怎么办</x:v>
      </x:c>
      <x:c r="D17" s="215" t="str">
        <x:v>函数、差值、反馈</x:v>
      </x:c>
      <x:c r="E17" s="215" t="str">
        <x:v>设定值、测量值、误差、控制量</x:v>
      </x:c>
      <x:c r="F17" s="215" t="str">
        <x:v>定高扰动实验</x:v>
      </x:c>
      <x:c r="G17" s="215" t="str">
        <x:v>实时读取误差</x:v>
      </x:c>
      <x:c r="H17" s="215" t="str">
        <x:v>闭环控制流程</x:v>
      </x:c>
      <x:c r="I17" s="215" t="str"/>
      <x:c r="J17" s="215" t="str">
        <x:v>L2</x:v>
      </x:c>
      <x:c r="K17" s="216" t="str"/>
    </x:row>
    <x:row r="18" ht="60" customHeight="1">
      <x:c r="A18" s="214" t="n">
        <x:v>14</x:v>
      </x:c>
      <x:c r="B18" s="215" t="str">
        <x:v>M3 P控制</x:v>
      </x:c>
      <x:c r="C18" s="215" t="str">
        <x:v>只用P为什么会震荡或不够准</x:v>
      </x:c>
      <x:c r="D18" s="215" t="str">
        <x:v>比例函数、斜率直觉</x:v>
      </x:c>
      <x:c r="E18" s="215" t="str">
        <x:v>P增益、响应速度、振荡</x:v>
      </x:c>
      <x:c r="F18" s="215" t="str">
        <x:v>逐级改变P参数</x:v>
      </x:c>
      <x:c r="G18" s="215" t="str">
        <x:v>记录超调/稳定时间</x:v>
      </x:c>
      <x:c r="H18" s="215" t="str">
        <x:v>P调参实验</x:v>
      </x:c>
      <x:c r="I18" s="215" t="str"/>
      <x:c r="J18" s="215" t="str">
        <x:v>L2</x:v>
      </x:c>
      <x:c r="K18" s="216" t="str"/>
    </x:row>
    <x:row r="19" ht="60" customHeight="1">
      <x:c r="A19" s="214" t="n">
        <x:v>15</x:v>
      </x:c>
      <x:c r="B19" s="215" t="str">
        <x:v>M3 PID</x:v>
      </x:c>
      <x:c r="C19" s="215" t="str">
        <x:v>P/I/D分别在解决什么问题</x:v>
      </x:c>
      <x:c r="D19" s="215" t="str">
        <x:v>P=当前误差；I=累计误差；D=变化趋势（对应微积分只点到）</x:v>
      </x:c>
      <x:c r="E19" s="215" t="str">
        <x:v>PID控制、超调、稳态误差</x:v>
      </x:c>
      <x:c r="F19" s="215" t="str">
        <x:v>参数组合调试</x:v>
      </x:c>
      <x:c r="G19" s="215" t="str">
        <x:v>Python记录响应曲线</x:v>
      </x:c>
      <x:c r="H19" s="215" t="str">
        <x:v>PID调参报告</x:v>
      </x:c>
      <x:c r="I19" s="215" t="str"/>
      <x:c r="J19" s="215" t="str">
        <x:v>L2</x:v>
      </x:c>
      <x:c r="K19" s="216" t="str"/>
    </x:row>
    <x:row r="20" ht="60" customHeight="1">
      <x:c r="A20" s="184" t="n">
        <x:v>16</x:v>
      </x:c>
      <x:c r="B20" s="185" t="str">
        <x:v>M3 串级PID</x:v>
      </x:c>
      <x:c r="C20" s="185" t="str">
        <x:v>为什么姿态控制要一层套一层</x:v>
      </x:c>
      <x:c r="D20" s="185" t="str">
        <x:v>快慢变量、嵌套关系</x:v>
      </x:c>
      <x:c r="E20" s="185" t="str">
        <x:v>角度环/角速度环、串级PID</x:v>
      </x:c>
      <x:c r="F20" s="185" t="str">
        <x:v>观察外环/内环目标与响应</x:v>
      </x:c>
      <x:c r="G20" s="185" t="str">
        <x:v>参数/log分析</x:v>
      </x:c>
      <x:c r="H20" s="185" t="str">
        <x:v>第4阶段：稳定飞行参数包</x:v>
      </x:c>
      <x:c r="I20" s="190" t="str">
        <x:v>测：能用框图解释串级控制</x:v>
      </x:c>
      <x:c r="J20" s="185" t="str">
        <x:v>L2</x:v>
      </x:c>
      <x:c r="K20" s="186" t="str"/>
    </x:row>
    <x:row r="21" ht="60" customHeight="1">
      <x:c r="A21" s="214" t="n">
        <x:v>17</x:v>
      </x:c>
      <x:c r="B21" s="215" t="str">
        <x:v>M4 开源硬件</x:v>
      </x:c>
      <x:c r="C21" s="215" t="str">
        <x:v>飞控外围怎么连：ESP32/IMU/测距/电机</x:v>
      </x:c>
      <x:c r="D21" s="215" t="str">
        <x:v>数字信号、频率、占空比</x:v>
      </x:c>
      <x:c r="E21" s="215" t="str">
        <x:v>I2C/UART/SPI/PWM、无刷电机驱动概念</x:v>
      </x:c>
      <x:c r="F21" s="215" t="str">
        <x:v>ESP32+IMU/测距；PWM台架</x:v>
      </x:c>
      <x:c r="G21" s="215" t="str">
        <x:v>MicroPython/串口/I2C</x:v>
      </x:c>
      <x:c r="H21" s="215" t="str">
        <x:v>硬件通信实验板</x:v>
      </x:c>
      <x:c r="I21" s="215" t="str"/>
      <x:c r="J21" s="215" t="str">
        <x:v>L2</x:v>
      </x:c>
      <x:c r="K21" s="216" t="str">
        <x:v>可替换为4节硬件拓展包</x:v>
      </x:c>
    </x:row>
    <x:row r="22" ht="60" customHeight="1">
      <x:c r="A22" s="214" t="n">
        <x:v>18</x:v>
      </x:c>
      <x:c r="B22" s="215" t="str">
        <x:v>M5 自主控制</x:v>
      </x:c>
      <x:c r="C22" s="215" t="str">
        <x:v>定位与避障：让飞机知道自己在哪里</x:v>
      </x:c>
      <x:c r="D22" s="215" t="str">
        <x:v>坐标、速度、误差、条件</x:v>
      </x:c>
      <x:c r="E22" s="215" t="str">
        <x:v>Flow/测距/定位、位置控制</x:v>
      </x:c>
      <x:c r="F22" s="215" t="str">
        <x:v>定点/绕障任务</x:v>
      </x:c>
      <x:c r="G22" s="215" t="str">
        <x:v>航点+避障逻辑</x:v>
      </x:c>
      <x:c r="H22" s="215" t="str">
        <x:v>自主任务V1</x:v>
      </x:c>
      <x:c r="I22" s="215" t="str"/>
      <x:c r="J22" s="215" t="str">
        <x:v>L2</x:v>
      </x:c>
      <x:c r="K22" s="216" t="str"/>
    </x:row>
    <x:row r="23" ht="60" customHeight="1">
      <x:c r="A23" s="214" t="n">
        <x:v>19</x:v>
      </x:c>
      <x:c r="B23" s="215" t="str">
        <x:v>M5 自主控制</x:v>
      </x:c>
      <x:c r="C23" s="215" t="str">
        <x:v>规划一条更好的自动飞行路线</x:v>
      </x:c>
      <x:c r="D23" s="215" t="str">
        <x:v>函数优化、距离、约束</x:v>
      </x:c>
      <x:c r="E23" s="215" t="str">
        <x:v>轨迹/航点规划基础</x:v>
      </x:c>
      <x:c r="F23" s="215" t="str">
        <x:v>多点任务+障碍约束</x:v>
      </x:c>
      <x:c r="G23" s="215" t="str">
        <x:v>任务状态机</x:v>
      </x:c>
      <x:c r="H23" s="215" t="str">
        <x:v>自主任务V2</x:v>
      </x:c>
      <x:c r="I23" s="215" t="str"/>
      <x:c r="J23" s="215" t="str">
        <x:v>L2</x:v>
      </x:c>
      <x:c r="K23" s="216" t="str">
        <x:v>可加入竞赛主题</x:v>
      </x:c>
    </x:row>
    <x:row r="24" ht="60" customHeight="1">
      <x:c r="A24" s="192" t="n">
        <x:v>20</x:v>
      </x:c>
      <x:c r="B24" s="193" t="str">
        <x:v>M5 综合项目</x:v>
      </x:c>
      <x:c r="C24" s="193" t="str">
        <x:v>综合答辩：用数学物理解释你的飞行系统</x:v>
      </x:c>
      <x:c r="D24" s="193" t="str">
        <x:v>综合：力学+向量+函数+数据</x:v>
      </x:c>
      <x:c r="E24" s="193" t="str">
        <x:v>IMU→估计→控制→电机→运动完整链路</x:v>
      </x:c>
      <x:c r="F24" s="193" t="str">
        <x:v>现场飞行、故障定位、迭代</x:v>
      </x:c>
      <x:c r="G24" s="193" t="str">
        <x:v>整理代码/数据/报告</x:v>
      </x:c>
      <x:c r="H24" s="193" t="str">
        <x:v>项目报告+演示视频+作品集</x:v>
      </x:c>
      <x:c r="I24" s="198" t="str">
        <x:v>终测：任务、数据解释、学科关联、工程规范</x:v>
      </x:c>
      <x:c r="J24" s="193" t="str">
        <x:v>L2</x:v>
      </x:c>
      <x:c r="K24" s="194" t="str">
        <x:v>可衔接L3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24" hidden="0" customWidth="1"/>
    <x:col min="4" max="4" width="26" hidden="0" customWidth="1"/>
    <x:col min="5" max="5" width="28" hidden="0" customWidth="1"/>
    <x:col min="6" max="6" width="26" hidden="0" customWidth="1"/>
    <x:col min="7" max="7" width="22" hidden="0" customWidth="1"/>
    <x:col min="8" max="8" width="22" hidden="0" customWidth="1"/>
    <x:col min="9" max="9" width="22" hidden="0" customWidth="1"/>
    <x:col min="10" max="10" width="10" hidden="0" customWidth="1"/>
    <x:col min="11" max="11" width="18" hidden="0" customWidth="1"/>
  </x:cols>
  <x:sheetData>
    <x:row r="1" ht="34" customHeight="1">
      <x:c r="A1" s="5" t="str">
        <x:v>L3 专业版｜无人机系统工程与自主控制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4" customHeight="1">
      <x:c r="A2" s="13" t="str">
        <x:v>大学生、研究生、工程师/成人进阶。真正进入飞控源码、刚体动力学、姿态解算、Kalman/EKF、串级控制、ROS2。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0" customHeight="1">
      <x:c r="A4" s="113" t="str">
        <x:v>课次</x:v>
      </x:c>
      <x:c r="B4" s="114" t="str">
        <x:v>模块</x:v>
      </x:c>
      <x:c r="C4" s="114" t="str">
        <x:v>任务/项目案例</x:v>
      </x:c>
      <x:c r="D4" s="114" t="str">
        <x:v>学科知识嵌入</x:v>
      </x:c>
      <x:c r="E4" s="114" t="str">
        <x:v>无人机/算法知识</x:v>
      </x:c>
      <x:c r="F4" s="114" t="str">
        <x:v>Crazyflie/实践</x:v>
      </x:c>
      <x:c r="G4" s="114" t="str">
        <x:v>编程/硬件</x:v>
      </x:c>
      <x:c r="H4" s="114" t="str">
        <x:v>阶段产出</x:v>
      </x:c>
      <x:c r="I4" s="114" t="str">
        <x:v>阶段检测</x:v>
      </x:c>
      <x:c r="J4" s="114" t="str">
        <x:v>深度标签</x:v>
      </x:c>
      <x:c r="K4" s="115" t="str">
        <x:v>备注/可替换</x:v>
      </x:c>
    </x:row>
    <x:row r="5" ht="60" customHeight="1">
      <x:c r="A5" s="214" t="n">
        <x:v>1</x:v>
      </x:c>
      <x:c r="B5" s="215" t="str">
        <x:v>M0 系统架构</x:v>
      </x:c>
      <x:c r="C5" s="215" t="str">
        <x:v>Crazyflie软硬件全栈地图</x:v>
      </x:c>
      <x:c r="D5" s="215" t="str">
        <x:v>单位、信号、系统框图复习</x:v>
      </x:c>
      <x:c r="E5" s="215" t="str">
        <x:v>MCU/IMU/电源/电机/无线/固件/上位机</x:v>
      </x:c>
      <x:c r="F5" s="215" t="str">
        <x:v>参数、日志、源码目录定位</x:v>
      </x:c>
      <x:c r="G5" s="215" t="str">
        <x:v>Python客户端+C/C++固件</x:v>
      </x:c>
      <x:c r="H5" s="215" t="str">
        <x:v>全栈架构图</x:v>
      </x:c>
      <x:c r="I5" s="215" t="str"/>
      <x:c r="J5" s="215" t="str">
        <x:v>L3</x:v>
      </x:c>
      <x:c r="K5" s="216" t="str">
        <x:v>小白可先速通L2核心</x:v>
      </x:c>
    </x:row>
    <x:row r="6" ht="60" customHeight="1">
      <x:c r="A6" s="214" t="n">
        <x:v>2</x:v>
      </x:c>
      <x:c r="B6" s="215" t="str">
        <x:v>M4 嵌入式</x:v>
      </x:c>
      <x:c r="C6" s="215" t="str">
        <x:v>从传感器驱动到实时任务</x:v>
      </x:c>
      <x:c r="D6" s="215" t="str">
        <x:v>采样频率、周期、延迟</x:v>
      </x:c>
      <x:c r="E6" s="215" t="str">
        <x:v>STM32、RTOS、任务/中断、驱动层</x:v>
      </x:c>
      <x:c r="F6" s="215" t="str">
        <x:v>查看传感器任务和日志</x:v>
      </x:c>
      <x:c r="G6" s="215" t="str">
        <x:v>C代码阅读/编译/烧录</x:v>
      </x:c>
      <x:c r="H6" s="215" t="str">
        <x:v>修改一个日志/参数</x:v>
      </x:c>
      <x:c r="I6" s="215" t="str"/>
      <x:c r="J6" s="215" t="str">
        <x:v>L3</x:v>
      </x:c>
      <x:c r="K6" s="216" t="str"/>
    </x:row>
    <x:row r="7" ht="60" customHeight="1">
      <x:c r="A7" s="214" t="n">
        <x:v>3</x:v>
      </x:c>
      <x:c r="B7" s="215" t="str">
        <x:v>M4 电机系统</x:v>
      </x:c>
      <x:c r="C7" s="215" t="str">
        <x:v>电机与飞控输出链路</x:v>
      </x:c>
      <x:c r="D7" s="215" t="str">
        <x:v>PWM、频率、占空比、电功率</x:v>
      </x:c>
      <x:c r="E7" s="215" t="str">
        <x:v>有刷/无刷、电机驱动、混控、ESC概念</x:v>
      </x:c>
      <x:c r="F7" s="215" t="str">
        <x:v>台架输出/电机指令观察</x:v>
      </x:c>
      <x:c r="G7" s="215" t="str">
        <x:v>驱动/混控源码定位</x:v>
      </x:c>
      <x:c r="H7" s="215" t="str">
        <x:v>电机控制链路图</x:v>
      </x:c>
      <x:c r="I7" s="215" t="str"/>
      <x:c r="J7" s="215" t="str">
        <x:v>L3</x:v>
      </x:c>
      <x:c r="K7" s="216" t="str">
        <x:v>QFP焊接可进硬件拓展</x:v>
      </x:c>
    </x:row>
    <x:row r="8" ht="60" customHeight="1">
      <x:c r="A8" s="184" t="n">
        <x:v>4</x:v>
      </x:c>
      <x:c r="B8" s="185" t="str">
        <x:v>M0+M4</x:v>
      </x:c>
      <x:c r="C8" s="185" t="str">
        <x:v>工程调试：从日志定位一个飞行问题</x:v>
      </x:c>
      <x:c r="D8" s="185" t="str">
        <x:v>实验设计、变量控制</x:v>
      </x:c>
      <x:c r="E8" s="185" t="str">
        <x:v>参数、日志、故障树</x:v>
      </x:c>
      <x:c r="F8" s="185" t="str">
        <x:v>人为制造参数问题并复原</x:v>
      </x:c>
      <x:c r="G8" s="185" t="str">
        <x:v>Git/日志/调参</x:v>
      </x:c>
      <x:c r="H8" s="185" t="str">
        <x:v>第1阶段：工程调试报告</x:v>
      </x:c>
      <x:c r="I8" s="190" t="str">
        <x:v>测：能编译/连接/定位数据链路</x:v>
      </x:c>
      <x:c r="J8" s="185" t="str">
        <x:v>L3</x:v>
      </x:c>
      <x:c r="K8" s="186" t="str"/>
    </x:row>
    <x:row r="9" ht="60" customHeight="1">
      <x:c r="A9" s="214" t="n">
        <x:v>5</x:v>
      </x:c>
      <x:c r="B9" s="215" t="str">
        <x:v>M1 姿态数学</x:v>
      </x:c>
      <x:c r="C9" s="215" t="str">
        <x:v>欧拉角、旋转矩阵与坐标系</x:v>
      </x:c>
      <x:c r="D9" s="215" t="str">
        <x:v>线性代数、矩阵乘法</x:v>
      </x:c>
      <x:c r="E9" s="215" t="str">
        <x:v>Body/World坐标与旋转矩阵</x:v>
      </x:c>
      <x:c r="F9" s="215" t="str">
        <x:v>姿态数据转换实验</x:v>
      </x:c>
      <x:c r="G9" s="215" t="str">
        <x:v>Python/NumPy或等价实现</x:v>
      </x:c>
      <x:c r="H9" s="215" t="str">
        <x:v>坐标变换Notebook</x:v>
      </x:c>
      <x:c r="I9" s="215" t="str"/>
      <x:c r="J9" s="215" t="str">
        <x:v>L3</x:v>
      </x:c>
      <x:c r="K9" s="216" t="str"/>
    </x:row>
    <x:row r="10" ht="60" customHeight="1">
      <x:c r="A10" s="214" t="n">
        <x:v>6</x:v>
      </x:c>
      <x:c r="B10" s="215" t="str">
        <x:v>M1 四元数</x:v>
      </x:c>
      <x:c r="C10" s="215" t="str">
        <x:v>用四元数表达三维旋转</x:v>
      </x:c>
      <x:c r="D10" s="215" t="str">
        <x:v>向量/矩阵/复数类比（按需）</x:v>
      </x:c>
      <x:c r="E10" s="215" t="str">
        <x:v>四元数、归一化、旋转组合</x:v>
      </x:c>
      <x:c r="F10" s="215" t="str">
        <x:v>读取/转换姿态表示</x:v>
      </x:c>
      <x:c r="G10" s="215" t="str">
        <x:v>实现转换函数</x:v>
      </x:c>
      <x:c r="H10" s="215" t="str">
        <x:v>四元数实验</x:v>
      </x:c>
      <x:c r="I10" s="215" t="str"/>
      <x:c r="J10" s="215" t="str">
        <x:v>L3</x:v>
      </x:c>
      <x:c r="K10" s="216" t="str"/>
    </x:row>
    <x:row r="11" ht="60" customHeight="1">
      <x:c r="A11" s="214" t="n">
        <x:v>7</x:v>
      </x:c>
      <x:c r="B11" s="215" t="str">
        <x:v>M1 刚体动力学</x:v>
      </x:c>
      <x:c r="C11" s="215" t="str">
        <x:v>四轴的转动方程从哪里来</x:v>
      </x:c>
      <x:c r="D11" s="215" t="str">
        <x:v>微积分、角速度、力矩</x:v>
      </x:c>
      <x:c r="E11" s="215" t="str">
        <x:v>刚体转动、转动惯量、角动量</x:v>
      </x:c>
      <x:c r="F11" s="215" t="str">
        <x:v>简化动力学仿真</x:v>
      </x:c>
      <x:c r="G11" s="215" t="str">
        <x:v>数值仿真</x:v>
      </x:c>
      <x:c r="H11" s="215" t="str">
        <x:v>动力学模型V1</x:v>
      </x:c>
      <x:c r="I11" s="215" t="str"/>
      <x:c r="J11" s="215" t="str">
        <x:v>L3</x:v>
      </x:c>
      <x:c r="K11" s="216" t="str"/>
    </x:row>
    <x:row r="12" ht="60" customHeight="1">
      <x:c r="A12" s="184" t="n">
        <x:v>8</x:v>
      </x:c>
      <x:c r="B12" s="185" t="str">
        <x:v>M1 空气动力学</x:v>
      </x:c>
      <x:c r="C12" s="185" t="str">
        <x:v>从电机转速到推力/力矩</x:v>
      </x:c>
      <x:c r="D12" s="185" t="str">
        <x:v>函数拟合、平方关系、参数辨识</x:v>
      </x:c>
      <x:c r="E12" s="185" t="str">
        <x:v>螺旋桨推力、阻力矩、混控矩阵</x:v>
      </x:c>
      <x:c r="F12" s="185" t="str">
        <x:v>实验/数据拟合或仿真</x:v>
      </x:c>
      <x:c r="G12" s="185" t="str">
        <x:v>曲线拟合/模型参数</x:v>
      </x:c>
      <x:c r="H12" s="185" t="str">
        <x:v>第2阶段：飞行模型说明书</x:v>
      </x:c>
      <x:c r="I12" s="190" t="str">
        <x:v>测：坐标变换+动力学建模</x:v>
      </x:c>
      <x:c r="J12" s="185" t="str">
        <x:v>L3</x:v>
      </x:c>
      <x:c r="K12" s="186" t="str"/>
    </x:row>
    <x:row r="13" ht="60" customHeight="1">
      <x:c r="A13" s="214" t="n">
        <x:v>9</x:v>
      </x:c>
      <x:c r="B13" s="215" t="str">
        <x:v>M2 传感器模型</x:v>
      </x:c>
      <x:c r="C13" s="215" t="str">
        <x:v>IMU校准、噪声、偏置、漂移</x:v>
      </x:c>
      <x:c r="D13" s="215" t="str">
        <x:v>均值、方差、概率分布</x:v>
      </x:c>
      <x:c r="E13" s="215" t="str">
        <x:v>传感器误差模型</x:v>
      </x:c>
      <x:c r="F13" s="215" t="str">
        <x:v>静态采样/Allan概念可选</x:v>
      </x:c>
      <x:c r="G13" s="215" t="str">
        <x:v>数据分析脚本</x:v>
      </x:c>
      <x:c r="H13" s="215" t="str">
        <x:v>IMU标定报告</x:v>
      </x:c>
      <x:c r="I13" s="215" t="str"/>
      <x:c r="J13" s="215" t="str">
        <x:v>L3</x:v>
      </x:c>
      <x:c r="K13" s="216" t="str"/>
    </x:row>
    <x:row r="14" ht="60" customHeight="1">
      <x:c r="A14" s="214" t="n">
        <x:v>10</x:v>
      </x:c>
      <x:c r="B14" s="215" t="str">
        <x:v>M2 滤波</x:v>
      </x:c>
      <x:c r="C14" s="215" t="str">
        <x:v>互补/低通滤波的频域直觉</x:v>
      </x:c>
      <x:c r="D14" s="215" t="str">
        <x:v>微分方程/频率响应按需</x:v>
      </x:c>
      <x:c r="E14" s="215" t="str">
        <x:v>滤波器设计与参数</x:v>
      </x:c>
      <x:c r="F14" s="215" t="str">
        <x:v>原始/滤波数据对比</x:v>
      </x:c>
      <x:c r="G14" s="215" t="str">
        <x:v>实现简单滤波器</x:v>
      </x:c>
      <x:c r="H14" s="215" t="str">
        <x:v>滤波器实验</x:v>
      </x:c>
      <x:c r="I14" s="215" t="str"/>
      <x:c r="J14" s="215" t="str">
        <x:v>L3</x:v>
      </x:c>
      <x:c r="K14" s="216" t="str"/>
    </x:row>
    <x:row r="15" ht="60" customHeight="1">
      <x:c r="A15" s="214" t="n">
        <x:v>11</x:v>
      </x:c>
      <x:c r="B15" s="215" t="str">
        <x:v>M2 Kalman</x:v>
      </x:c>
      <x:c r="C15" s="215" t="str">
        <x:v>Kalman：预测-协方差-测量更新</x:v>
      </x:c>
      <x:c r="D15" s="215" t="str">
        <x:v>线代、概率、矩阵运算</x:v>
      </x:c>
      <x:c r="E15" s="215" t="str">
        <x:v>状态空间、Kalman Filter</x:v>
      </x:c>
      <x:c r="F15" s="215" t="str">
        <x:v>一维/二维状态估计仿真</x:v>
      </x:c>
      <x:c r="G15" s="215" t="str">
        <x:v>Python实现KF</x:v>
      </x:c>
      <x:c r="H15" s="215" t="str">
        <x:v>KF Notebook</x:v>
      </x:c>
      <x:c r="I15" s="215" t="str"/>
      <x:c r="J15" s="215" t="str">
        <x:v>L3</x:v>
      </x:c>
      <x:c r="K15" s="216" t="str"/>
    </x:row>
    <x:row r="16" ht="60" customHeight="1">
      <x:c r="A16" s="184" t="n">
        <x:v>12</x:v>
      </x:c>
      <x:c r="B16" s="185" t="str">
        <x:v>M2 EKF姿态</x:v>
      </x:c>
      <x:c r="C16" s="185" t="str">
        <x:v>非线性系统怎样做姿态估计</x:v>
      </x:c>
      <x:c r="D16" s="185" t="str">
        <x:v>Jacobian/线性化概念</x:v>
      </x:c>
      <x:c r="E16" s="185" t="str">
        <x:v>EKF、姿态/位置状态估计</x:v>
      </x:c>
      <x:c r="F16" s="185" t="str">
        <x:v>阅读Crazyflie估计器/对比日志</x:v>
      </x:c>
      <x:c r="G16" s="185" t="str">
        <x:v>源码阅读+参数</x:v>
      </x:c>
      <x:c r="H16" s="185" t="str">
        <x:v>第3阶段：状态估计技术报告</x:v>
      </x:c>
      <x:c r="I16" s="190" t="str">
        <x:v>测：能解释状态、预测、更新与噪声矩阵</x:v>
      </x:c>
      <x:c r="J16" s="185" t="str">
        <x:v>L3</x:v>
      </x:c>
      <x:c r="K16" s="186" t="str"/>
    </x:row>
    <x:row r="17" ht="60" customHeight="1">
      <x:c r="A17" s="214" t="n">
        <x:v>13</x:v>
      </x:c>
      <x:c r="B17" s="215" t="str">
        <x:v>M3 控制</x:v>
      </x:c>
      <x:c r="C17" s="215" t="str">
        <x:v>从系统响应到PID设计</x:v>
      </x:c>
      <x:c r="D17" s="215" t="str">
        <x:v>微积分、传递/状态思想按需</x:v>
      </x:c>
      <x:c r="E17" s="215" t="str">
        <x:v>PID、稳态误差、超调、响应时间</x:v>
      </x:c>
      <x:c r="F17" s="215" t="str">
        <x:v>阶跃响应调参</x:v>
      </x:c>
      <x:c r="G17" s="215" t="str">
        <x:v>脚本分析log</x:v>
      </x:c>
      <x:c r="H17" s="215" t="str">
        <x:v>PID性能表</x:v>
      </x:c>
      <x:c r="I17" s="215" t="str"/>
      <x:c r="J17" s="215" t="str">
        <x:v>L3</x:v>
      </x:c>
      <x:c r="K17" s="216" t="str"/>
    </x:row>
    <x:row r="18" ht="60" customHeight="1">
      <x:c r="A18" s="214" t="n">
        <x:v>14</x:v>
      </x:c>
      <x:c r="B18" s="215" t="str">
        <x:v>M3 串级控制</x:v>
      </x:c>
      <x:c r="C18" s="215" t="str">
        <x:v>角速度环→姿态环→位置环</x:v>
      </x:c>
      <x:c r="D18" s="215" t="str">
        <x:v>多环系统、带宽概念</x:v>
      </x:c>
      <x:c r="E18" s="215" t="str">
        <x:v>串级PID、内外环频率</x:v>
      </x:c>
      <x:c r="F18" s="215" t="str">
        <x:v>逐环观察/调参</x:v>
      </x:c>
      <x:c r="G18" s="215" t="str">
        <x:v>控制器源码定位</x:v>
      </x:c>
      <x:c r="H18" s="215" t="str">
        <x:v>多环控制框图</x:v>
      </x:c>
      <x:c r="I18" s="215" t="str"/>
      <x:c r="J18" s="215" t="str">
        <x:v>L3</x:v>
      </x:c>
      <x:c r="K18" s="216" t="str"/>
    </x:row>
    <x:row r="19" ht="60" customHeight="1">
      <x:c r="A19" s="214" t="n">
        <x:v>15</x:v>
      </x:c>
      <x:c r="B19" s="215" t="str">
        <x:v>M3 系统辨识</x:v>
      </x:c>
      <x:c r="C19" s="215" t="str">
        <x:v>用数据找模型、用模型调参数</x:v>
      </x:c>
      <x:c r="D19" s="215" t="str">
        <x:v>拟合、最小二乘概念</x:v>
      </x:c>
      <x:c r="E19" s="215" t="str">
        <x:v>系统辨识/参数整定</x:v>
      </x:c>
      <x:c r="F19" s="215" t="str">
        <x:v>采集输入输出并拟合</x:v>
      </x:c>
      <x:c r="G19" s="215" t="str">
        <x:v>Python分析</x:v>
      </x:c>
      <x:c r="H19" s="215" t="str">
        <x:v>模型参数表</x:v>
      </x:c>
      <x:c r="I19" s="215" t="str"/>
      <x:c r="J19" s="215" t="str">
        <x:v>L3</x:v>
      </x:c>
      <x:c r="K19" s="216" t="str"/>
    </x:row>
    <x:row r="20" ht="60" customHeight="1">
      <x:c r="A20" s="184" t="n">
        <x:v>16</x:v>
      </x:c>
      <x:c r="B20" s="185" t="str">
        <x:v>M3 控制器开发</x:v>
      </x:c>
      <x:c r="C20" s="185" t="str">
        <x:v>修改/替换一个控制器</x:v>
      </x:c>
      <x:c r="D20" s="185" t="str">
        <x:v>控制理论扩展：LQR/MPC可选</x:v>
      </x:c>
      <x:c r="E20" s="185" t="str">
        <x:v>控制器接口、实时约束</x:v>
      </x:c>
      <x:c r="F20" s="185" t="str">
        <x:v>自定义简单控制逻辑/参数</x:v>
      </x:c>
      <x:c r="G20" s="185" t="str">
        <x:v>C/C++修改、编译测试</x:v>
      </x:c>
      <x:c r="H20" s="185" t="str">
        <x:v>第4阶段：自定义控制器</x:v>
      </x:c>
      <x:c r="I20" s="190" t="str">
        <x:v>测：源码修改+稳定性/性能对比</x:v>
      </x:c>
      <x:c r="J20" s="185" t="str">
        <x:v>L3</x:v>
      </x:c>
      <x:c r="K20" s="186" t="str">
        <x:v>高级组可做LQR/MPC</x:v>
      </x:c>
    </x:row>
    <x:row r="21" ht="60" customHeight="1">
      <x:c r="A21" s="214" t="n">
        <x:v>17</x:v>
      </x:c>
      <x:c r="B21" s="215" t="str">
        <x:v>M5 ROS2</x:v>
      </x:c>
      <x:c r="C21" s="215" t="str">
        <x:v>Crazyflie如何接入机器人软件栈</x:v>
      </x:c>
      <x:c r="D21" s="215" t="str">
        <x:v>坐标变换、消息频率</x:v>
      </x:c>
      <x:c r="E21" s="215" t="str">
        <x:v>ROS2节点/Topic/TF/桥接</x:v>
      </x:c>
      <x:c r="F21" s="215" t="str">
        <x:v>发布/订阅飞行状态</x:v>
      </x:c>
      <x:c r="G21" s="215" t="str">
        <x:v>ROS2+Python/C++</x:v>
      </x:c>
      <x:c r="H21" s="215" t="str">
        <x:v>ROS2飞行节点</x:v>
      </x:c>
      <x:c r="I21" s="215" t="str"/>
      <x:c r="J21" s="215" t="str">
        <x:v>L3</x:v>
      </x:c>
      <x:c r="K21" s="216" t="str"/>
    </x:row>
    <x:row r="22" ht="60" customHeight="1">
      <x:c r="A22" s="214" t="n">
        <x:v>18</x:v>
      </x:c>
      <x:c r="B22" s="215" t="str">
        <x:v>M5 定位规划</x:v>
      </x:c>
      <x:c r="C22" s="215" t="str">
        <x:v>定位、航点、轨迹与约束</x:v>
      </x:c>
      <x:c r="D22" s="215" t="str">
        <x:v>优化/插值/坐标变换</x:v>
      </x:c>
      <x:c r="E22" s="215" t="str">
        <x:v>Flow/Lighthouse/UWB等定位；轨迹规划</x:v>
      </x:c>
      <x:c r="F22" s="215" t="str">
        <x:v>自主航点/轨迹跟踪</x:v>
      </x:c>
      <x:c r="G22" s="215" t="str">
        <x:v>规划脚本</x:v>
      </x:c>
      <x:c r="H22" s="215" t="str">
        <x:v>自主任务V1</x:v>
      </x:c>
      <x:c r="I22" s="215" t="str"/>
      <x:c r="J22" s="215" t="str">
        <x:v>L3</x:v>
      </x:c>
      <x:c r="K22" s="216" t="str"/>
    </x:row>
    <x:row r="23" ht="60" customHeight="1">
      <x:c r="A23" s="214" t="n">
        <x:v>19</x:v>
      </x:c>
      <x:c r="B23" s="215" t="str">
        <x:v>M5 自主机器人</x:v>
      </x:c>
      <x:c r="C23" s="215" t="str">
        <x:v>视觉/SLAM/集群三选一专题</x:v>
      </x:c>
      <x:c r="D23" s="215" t="str">
        <x:v>概率、图优化/几何按选题</x:v>
      </x:c>
      <x:c r="E23" s="215" t="str">
        <x:v>视觉定位、SLAM或多机协同概念</x:v>
      </x:c>
      <x:c r="F23" s="215" t="str">
        <x:v>选题实验/仿真/多机</x:v>
      </x:c>
      <x:c r="G23" s="215" t="str">
        <x:v>ROS2/AI接口</x:v>
      </x:c>
      <x:c r="H23" s="215" t="str">
        <x:v>自主任务V2</x:v>
      </x:c>
      <x:c r="I23" s="215" t="str"/>
      <x:c r="J23" s="215" t="str">
        <x:v>L3</x:v>
      </x:c>
      <x:c r="K23" s="216" t="str">
        <x:v>按学校资源选一条</x:v>
      </x:c>
    </x:row>
    <x:row r="24" ht="60" customHeight="1">
      <x:c r="A24" s="192" t="n">
        <x:v>20</x:v>
      </x:c>
      <x:c r="B24" s="193" t="str">
        <x:v>M5 科研项目</x:v>
      </x:c>
      <x:c r="C24" s="193" t="str">
        <x:v>最终项目：提出问题—实验—数据—结论—复现</x:v>
      </x:c>
      <x:c r="D24" s="193" t="str">
        <x:v>完整科研/工程方法</x:v>
      </x:c>
      <x:c r="E24" s="193" t="str">
        <x:v>飞控/估计/规划/系统集成</x:v>
      </x:c>
      <x:c r="F24" s="193" t="str">
        <x:v>现场演示+复盘</x:v>
      </x:c>
      <x:c r="G24" s="193" t="str">
        <x:v>Git仓库+报告+视频</x:v>
      </x:c>
      <x:c r="H24" s="193" t="str">
        <x:v>科研型作品集/课程答辩</x:v>
      </x:c>
      <x:c r="I24" s="198" t="str">
        <x:v>终测：复现性、数据、源码、工程文档</x:v>
      </x:c>
      <x:c r="J24" s="193" t="str">
        <x:v>L3</x:v>
      </x:c>
      <x:c r="K24" s="194" t="str">
        <x:v>可转竞赛/毕设/科研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28" hidden="0" customWidth="1"/>
    <x:col min="4" max="4" width="24" hidden="0" customWidth="1"/>
    <x:col min="5" max="5" width="22" hidden="0" customWidth="1"/>
    <x:col min="6" max="6" width="12" hidden="0" customWidth="1"/>
    <x:col min="7" max="7" width="23" hidden="0" customWidth="1"/>
    <x:col min="8" max="8" width="18" hidden="0" customWidth="1"/>
  </x:cols>
  <x:sheetData>
    <x:row r="1" ht="34" customHeight="1">
      <x:c r="A1" s="5" t="str">
        <x:v>H 硬件工程拓展包｜ESP32 · 焊接 · 通信 · IMU · 电机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3" t="str">
        <x:v>建议独立成4-8课，也可插入L1/L2/L3。目标不是先造出能飞的无人机，而是让学生看懂“飞控硬件链路”。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113" t="str">
        <x:v>课次</x:v>
      </x:c>
      <x:c r="B4" s="114" t="str">
        <x:v>项目</x:v>
      </x:c>
      <x:c r="C4" s="114" t="str">
        <x:v>核心知识</x:v>
      </x:c>
      <x:c r="D4" s="114" t="str">
        <x:v>硬件</x:v>
      </x:c>
      <x:c r="E4" s="114" t="str">
        <x:v>编程/工具</x:v>
      </x:c>
      <x:c r="F4" s="114" t="str">
        <x:v>适合层级</x:v>
      </x:c>
      <x:c r="G4" s="114" t="str">
        <x:v>成果</x:v>
      </x:c>
      <x:c r="H4" s="115" t="str">
        <x:v>安全重点</x:v>
      </x:c>
    </x:row>
    <x:row r="5" ht="48" customHeight="1">
      <x:c r="A5" s="234" t="n">
        <x:v>1</x:v>
      </x:c>
      <x:c r="B5" s="215" t="str">
        <x:v>ESP32点灯+按钮控制</x:v>
      </x:c>
      <x:c r="C5" s="215" t="str">
        <x:v>3.3V/5V、GND、GPIO、输入输出</x:v>
      </x:c>
      <x:c r="D5" s="215" t="str">
        <x:v>ESP32、LED、按钮</x:v>
      </x:c>
      <x:c r="E5" s="215" t="str">
        <x:v>MicroPython</x:v>
      </x:c>
      <x:c r="F5" s="215" t="str">
        <x:v>L1/L2</x:v>
      </x:c>
      <x:c r="G5" s="215" t="str">
        <x:v>输入输出小板</x:v>
      </x:c>
      <x:c r="H5" s="216" t="str">
        <x:v>极性/短路</x:v>
      </x:c>
    </x:row>
    <x:row r="6" ht="48" customHeight="1">
      <x:c r="A6" s="234" t="n">
        <x:v>2</x:v>
      </x:c>
      <x:c r="B6" s="215" t="str">
        <x:v>传感器通信实验</x:v>
      </x:c>
      <x:c r="C6" s="215" t="str">
        <x:v>I2C/UART/SPI区别与用途</x:v>
      </x:c>
      <x:c r="D6" s="215" t="str">
        <x:v>IMU、温度/测距模块</x:v>
      </x:c>
      <x:c r="E6" s="215" t="str">
        <x:v>I2C扫描、串口输出</x:v>
      </x:c>
      <x:c r="F6" s="215" t="str">
        <x:v>L2/L3</x:v>
      </x:c>
      <x:c r="G6" s="215" t="str">
        <x:v>传感器数据终端</x:v>
      </x:c>
      <x:c r="H6" s="216" t="str">
        <x:v>供电电压</x:v>
      </x:c>
    </x:row>
    <x:row r="7" ht="48" customHeight="1">
      <x:c r="A7" s="234" t="n">
        <x:v>3</x:v>
      </x:c>
      <x:c r="B7" s="215" t="str">
        <x:v>基础焊接与维修</x:v>
      </x:c>
      <x:c r="C7" s="215" t="str">
        <x:v>焊点、导通、排针、接口</x:v>
      </x:c>
      <x:c r="D7" s="215" t="str">
        <x:v>烙铁、万用表、排针</x:v>
      </x:c>
      <x:c r="E7" s="215" t="str">
        <x:v>通断测试</x:v>
      </x:c>
      <x:c r="F7" s="215" t="str">
        <x:v>L1/L2/L3</x:v>
      </x:c>
      <x:c r="G7" s="215" t="str">
        <x:v>焊接合格板</x:v>
      </x:c>
      <x:c r="H7" s="216" t="str">
        <x:v>防烫/通风</x:v>
      </x:c>
    </x:row>
    <x:row r="8" ht="48" customHeight="1">
      <x:c r="A8" s="234" t="n">
        <x:v>4</x:v>
      </x:c>
      <x:c r="B8" s="215" t="str">
        <x:v>IMU姿态实验台</x:v>
      </x:c>
      <x:c r="C8" s="215" t="str">
        <x:v>加速度、角速度、零偏</x:v>
      </x:c>
      <x:c r="D8" s="215" t="str">
        <x:v>ESP32+MPU6050/同类IMU</x:v>
      </x:c>
      <x:c r="E8" s="215" t="str">
        <x:v>实时曲线</x:v>
      </x:c>
      <x:c r="F8" s="215" t="str">
        <x:v>L2/L3</x:v>
      </x:c>
      <x:c r="G8" s="215" t="str">
        <x:v>桌面姿态仪</x:v>
      </x:c>
      <x:c r="H8" s="216" t="str">
        <x:v>固定与供电</x:v>
      </x:c>
    </x:row>
    <x:row r="9" ht="48" customHeight="1">
      <x:c r="A9" s="234" t="n">
        <x:v>5</x:v>
      </x:c>
      <x:c r="B9" s="215" t="str">
        <x:v>PWM与电机实验</x:v>
      </x:c>
      <x:c r="C9" s="215" t="str">
        <x:v>频率、占空比、驱动</x:v>
      </x:c>
      <x:c r="D9" s="215" t="str">
        <x:v>小电机/驱动板/安全桨或无桨</x:v>
      </x:c>
      <x:c r="E9" s="215" t="str">
        <x:v>PWM控制</x:v>
      </x:c>
      <x:c r="F9" s="215" t="str">
        <x:v>L2/L3</x:v>
      </x:c>
      <x:c r="G9" s="215" t="str">
        <x:v>电机台架</x:v>
      </x:c>
      <x:c r="H9" s="216" t="str">
        <x:v>必须固定/护罩</x:v>
      </x:c>
    </x:row>
    <x:row r="10" ht="48" customHeight="1">
      <x:c r="A10" s="234" t="n">
        <x:v>6</x:v>
      </x:c>
      <x:c r="B10" s="215" t="str">
        <x:v>四电机桌面飞控台</x:v>
      </x:c>
      <x:c r="C10" s="215" t="str">
        <x:v>混控、左右/前后差速</x:v>
      </x:c>
      <x:c r="D10" s="215" t="str">
        <x:v>4电机+固定机架+控制板</x:v>
      </x:c>
      <x:c r="E10" s="215" t="str">
        <x:v>电机分配逻辑</x:v>
      </x:c>
      <x:c r="F10" s="215" t="str">
        <x:v>L2/L3</x:v>
      </x:c>
      <x:c r="G10" s="215" t="str">
        <x:v>不会飞走的四轴台架</x:v>
      </x:c>
      <x:c r="H10" s="216" t="str">
        <x:v>固定台架，不装危险桨</x:v>
      </x:c>
    </x:row>
    <x:row r="11" ht="48" customHeight="1">
      <x:c r="A11" s="234" t="n">
        <x:v>7</x:v>
      </x:c>
      <x:c r="B11" s="215" t="str">
        <x:v>传感器→控制→电机闭环</x:v>
      </x:c>
      <x:c r="C11" s="215" t="str">
        <x:v>反馈、采样、执行</x:v>
      </x:c>
      <x:c r="D11" s="215" t="str">
        <x:v>IMU+ESP32+电机/舵机</x:v>
      </x:c>
      <x:c r="E11" s="215" t="str">
        <x:v>P控制/PID简化</x:v>
      </x:c>
      <x:c r="F11" s="215" t="str">
        <x:v>L2/L3</x:v>
      </x:c>
      <x:c r="G11" s="215" t="str">
        <x:v>自动纠偏实验</x:v>
      </x:c>
      <x:c r="H11" s="216" t="str">
        <x:v>限制输出</x:v>
      </x:c>
    </x:row>
    <x:row r="12" ht="48" customHeight="1">
      <x:c r="A12" s="235" t="n">
        <x:v>8</x:v>
      </x:c>
      <x:c r="B12" s="219" t="str">
        <x:v>自定义扩展板/PCB入门</x:v>
      </x:c>
      <x:c r="C12" s="219" t="str">
        <x:v>原理图、接口、PCB、焊接/SMT概念</x:v>
      </x:c>
      <x:c r="D12" s="219" t="str">
        <x:v>扩展板/PCB样板</x:v>
      </x:c>
      <x:c r="E12" s="219" t="str">
        <x:v>KiCad/EDA任选</x:v>
      </x:c>
      <x:c r="F12" s="219" t="str">
        <x:v>L3/成人</x:v>
      </x:c>
      <x:c r="G12" s="219" t="str">
        <x:v>自制扩展板V1</x:v>
      </x:c>
      <x:c r="H12" s="221" t="str">
        <x:v>设计评审后通电</x:v>
      </x:c>
    </x:row>
    <x:row r="14" ht="24" customHeight="1">
      <x:c r="A14" s="48" t="str">
        <x:v>插入建议</x:v>
      </x:c>
      <x:c r="B14" s="48"/>
      <x:c r="C14" s="48"/>
      <x:c r="D14" s="48"/>
      <x:c r="E14" s="48"/>
      <x:c r="F14" s="48"/>
      <x:c r="G14" s="48"/>
      <x:c r="H14" s="48"/>
      <x:c r="I14" s="48"/>
      <x:c r="J14" s="48"/>
    </x:row>
    <x:row r="15" ht="30" customHeight="1">
      <x:c r="A15" s="149" t="str">
        <x:v>课程</x:v>
      </x:c>
      <x:c r="B15" s="150" t="str">
        <x:v>建议插入方式</x:v>
      </x:c>
      <x:c r="C15" s="151" t="str">
        <x:v>原因</x:v>
      </x:c>
    </x:row>
    <x:row r="16">
      <x:c r="A16" s="234" t="str">
        <x:v>L1</x:v>
      </x:c>
      <x:c r="B16" s="215" t="str">
        <x:v>第15-16课使用H1+H3；其余课选修</x:v>
      </x:c>
      <x:c r="C16" s="216" t="str">
        <x:v>保留动手焊接，但不让硬件难度压过飞行兴趣</x:v>
      </x:c>
    </x:row>
    <x:row r="17">
      <x:c r="A17" s="234" t="str">
        <x:v>L2</x:v>
      </x:c>
      <x:c r="B17" s="215" t="str">
        <x:v>第17课可替换为H2+H4+H5+H7，共2-4课</x:v>
      </x:c>
      <x:c r="C17" s="216" t="str">
        <x:v>把I2C/UART/PWM/IMU/PID与飞控知识真正接起来</x:v>
      </x:c>
    </x:row>
    <x:row r="18">
      <x:c r="A18" s="235" t="str">
        <x:v>L3</x:v>
      </x:c>
      <x:c r="B18" s="219" t="str">
        <x:v>H4-H8作为专业实验或预备周</x:v>
      </x:c>
      <x:c r="C18" s="221" t="str">
        <x:v>帮助从源码理解进入硬件/嵌入式系统工程</x:v>
      </x:c>
    </x:row>
  </x:sheetData>
  <x:mergeCells>
    <x:mergeCell ref="A1:J1"/>
    <x:mergeCell ref="A2:J2"/>
    <x:mergeCell ref="A14:J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5" t="str">
        <x:v>入学测评、阶段检测与灵活选课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3" t="str">
        <x:v>原则：先测基础，再决定“完整学习 / 速通 / 跳级”；每4课一次小检测，可动态补模块。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113" t="str">
        <x:v>学员类型</x:v>
      </x:c>
      <x:c r="B4" s="114" t="str">
        <x:v>建议起点</x:v>
      </x:c>
      <x:c r="C4" s="114" t="str">
        <x:v>推荐组合</x:v>
      </x:c>
      <x:c r="D4" s="114" t="str">
        <x:v>是否需要L1完整</x:v>
      </x:c>
      <x:c r="E4" s="115" t="str">
        <x:v>说明</x:v>
      </x:c>
    </x:row>
    <x:row r="5" ht="46" customHeight="1">
      <x:c r="A5" s="234" t="str">
        <x:v>小学零基础</x:v>
      </x:c>
      <x:c r="B5" s="215" t="str">
        <x:v>L1</x:v>
      </x:c>
      <x:c r="C5" s="215" t="str">
        <x:v>L1完整20课 + H1/H3</x:v>
      </x:c>
      <x:c r="D5" s="215" t="str">
        <x:v>是</x:v>
      </x:c>
      <x:c r="E5" s="216" t="str">
        <x:v>以兴趣、安全、动手和完整闭环为主</x:v>
      </x:c>
    </x:row>
    <x:row r="6" ht="46" customHeight="1">
      <x:c r="A6" s="234" t="str">
        <x:v>初中零基础</x:v>
      </x:c>
      <x:c r="B6" s="215" t="str">
        <x:v>L1速通→L2</x:v>
      </x:c>
      <x:c r="C6" s="215" t="str">
        <x:v>L1核心1-4/9/13/15 + L2主体</x:v>
      </x:c>
      <x:c r="D6" s="215" t="str">
        <x:v>否</x:v>
      </x:c>
      <x:c r="E6" s="216" t="str">
        <x:v>基础概念快速补齐后进入学科融合</x:v>
      </x:c>
    </x:row>
    <x:row r="7" ht="46" customHeight="1">
      <x:c r="A7" s="234" t="str">
        <x:v>高中零基础</x:v>
      </x:c>
      <x:c r="B7" s="215" t="str">
        <x:v>L2</x:v>
      </x:c>
      <x:c r="C7" s="215" t="str">
        <x:v>L2完整；第1-2课补系统与力学</x:v>
      </x:c>
      <x:c r="D7" s="215" t="str">
        <x:v>否</x:v>
      </x:c>
      <x:c r="E7" s="216" t="str">
        <x:v>数学物理基础可直接支撑进阶内容</x:v>
      </x:c>
    </x:row>
    <x:row r="8" ht="46" customHeight="1">
      <x:c r="A8" s="234" t="str">
        <x:v>成人技术小白</x:v>
      </x:c>
      <x:c r="B8" s="215" t="str">
        <x:v>L2</x:v>
      </x:c>
      <x:c r="C8" s="215" t="str">
        <x:v>L1第1-3课速通 + L2 + L3选修</x:v>
      </x:c>
      <x:c r="D8" s="215" t="str">
        <x:v>否</x:v>
      </x:c>
      <x:c r="E8" s="216" t="str">
        <x:v>工程问题驱动，缺什么补什么</x:v>
      </x:c>
    </x:row>
    <x:row r="9" ht="46" customHeight="1">
      <x:c r="A9" s="234" t="str">
        <x:v>大学非相关专业</x:v>
      </x:c>
      <x:c r="B9" s="215" t="str">
        <x:v>L2/L3</x:v>
      </x:c>
      <x:c r="C9" s="215" t="str">
        <x:v>测评后L2核心8-12课 + L3</x:v>
      </x:c>
      <x:c r="D9" s="215" t="str">
        <x:v>否</x:v>
      </x:c>
      <x:c r="E9" s="216" t="str">
        <x:v>先补IMU/PID/空间数学再进源码</x:v>
      </x:c>
    </x:row>
    <x:row r="10" ht="46" customHeight="1">
      <x:c r="A10" s="235" t="str">
        <x:v>自动化/机器人相关大学生</x:v>
      </x:c>
      <x:c r="B10" s="219" t="str">
        <x:v>L3</x:v>
      </x:c>
      <x:c r="C10" s="219" t="str">
        <x:v>L3完整或项目制</x:v>
      </x:c>
      <x:c r="D10" s="219" t="str">
        <x:v>否</x:v>
      </x:c>
      <x:c r="E10" s="221" t="str">
        <x:v>可跳过基础概念，直接源码/算法/ROS2</x:v>
      </x:c>
    </x:row>
    <x:row r="12" ht="26" customHeight="1">
      <x:c r="A12" s="48" t="str">
        <x:v>入学快速测评（教师填写0-3分；0=不了解，1=听说过，2=能做基础题/实验，3=能独立应用）</x:v>
      </x:c>
      <x:c r="B12" s="48"/>
      <x:c r="C12" s="48"/>
      <x:c r="D12" s="48"/>
      <x:c r="E12" s="48"/>
      <x:c r="F12" s="48"/>
      <x:c r="G12" s="48"/>
      <x:c r="H12" s="48"/>
      <x:c r="I12" s="48"/>
      <x:c r="J12" s="48"/>
    </x:row>
    <x:row r="13" ht="30" customHeight="1">
      <x:c r="A13" s="149" t="str">
        <x:v>维度</x:v>
      </x:c>
      <x:c r="B13" s="150" t="str">
        <x:v>评分0-3</x:v>
      </x:c>
      <x:c r="C13" s="150" t="str">
        <x:v>观察问题/任务</x:v>
      </x:c>
      <x:c r="D13" s="151" t="str">
        <x:v>建议解释</x:v>
      </x:c>
    </x:row>
    <x:row r="14" ht="44" customHeight="1">
      <x:c r="A14" s="234" t="str">
        <x:v>数学空间</x:v>
      </x:c>
      <x:c r="B14" s="185" t="str"/>
      <x:c r="C14" s="215" t="str">
        <x:v>能否看懂坐标、角度、比例；是否接触向量/三角</x:v>
      </x:c>
      <x:c r="D14" s="216" t="str">
        <x:v>L2以上空间数学的重要基础</x:v>
      </x:c>
    </x:row>
    <x:row r="15" ht="44" customHeight="1">
      <x:c r="A15" s="234" t="str">
        <x:v>物理力学</x:v>
      </x:c>
      <x:c r="B15" s="185" t="str"/>
      <x:c r="C15" s="215" t="str">
        <x:v>能否解释速度/加速度/F=ma/力矩</x:v>
      </x:c>
      <x:c r="D15" s="216" t="str">
        <x:v>决定M1从L1还是L2深度进入</x:v>
      </x:c>
    </x:row>
    <x:row r="16" ht="44" customHeight="1">
      <x:c r="A16" s="234" t="str">
        <x:v>编程</x:v>
      </x:c>
      <x:c r="B16" s="185" t="str"/>
      <x:c r="C16" s="215" t="str">
        <x:v>是否会变量、条件、循环、函数</x:v>
      </x:c>
      <x:c r="D16" s="216" t="str">
        <x:v>决定是否安排编程速通</x:v>
      </x:c>
    </x:row>
    <x:row r="17" ht="44" customHeight="1">
      <x:c r="A17" s="234" t="str">
        <x:v>数据分析</x:v>
      </x:c>
      <x:c r="B17" s="185" t="str"/>
      <x:c r="C17" s="215" t="str">
        <x:v>能否看折线图、平均值、误差</x:v>
      </x:c>
      <x:c r="D17" s="216" t="str">
        <x:v>决定IMU/滤波讲解速度</x:v>
      </x:c>
    </x:row>
    <x:row r="18" ht="44" customHeight="1">
      <x:c r="A18" s="234" t="str">
        <x:v>电子硬件</x:v>
      </x:c>
      <x:c r="B18" s="185" t="str"/>
      <x:c r="C18" s="215" t="str">
        <x:v>是否接触GPIO、I2C/UART、焊接</x:v>
      </x:c>
      <x:c r="D18" s="216" t="str">
        <x:v>决定H模块深度</x:v>
      </x:c>
    </x:row>
    <x:row r="19" ht="44" customHeight="1">
      <x:c r="A19" s="234" t="str">
        <x:v>无人机/机器人</x:v>
      </x:c>
      <x:c r="B19" s="185" t="str"/>
      <x:c r="C19" s="215" t="str">
        <x:v>是否做过飞行、传感器、ROS/飞控</x:v>
      </x:c>
      <x:c r="D19" s="216" t="str">
        <x:v>决定能否直接L3</x:v>
      </x:c>
    </x:row>
    <x:row r="20" ht="44" customHeight="1">
      <x:c r="A20" s="230" t="str">
        <x:v>总分</x:v>
      </x:c>
      <x:c r="B20" s="217" t="n">
        <x:f>SUM(B14:B19)</x:f>
        <x:v>0</x:v>
      </x:c>
      <x:c r="C20" s="215" t="str"/>
      <x:c r="D20" s="216" t="str">
        <x:v>0-6：L1/速通；7-12：L2；13-16：L2高阶；17-18：可直接L3（仍需教师判断）</x:v>
      </x:c>
    </x:row>
    <x:row r="21" ht="44" customHeight="1">
      <x:c r="A21" s="231" t="str">
        <x:v>建议起点</x:v>
      </x:c>
      <x:c r="B21" s="220" t="str">
        <x:f>IF(B20&lt;=6,"L1/基础速通",IF(B20&lt;=12,"L2进阶版",IF(B20&lt;=16,"L2高阶+L3预备","L3专业版")))</x:f>
        <x:v>L1/基础速通</x:v>
      </x:c>
      <x:c r="C21" s="219" t="str"/>
      <x:c r="D21" s="221" t="str"/>
    </x:row>
    <x:row r="23" ht="24" customHeight="1">
      <x:c r="A23" s="48" t="str">
        <x:v>阶段性检测与调整机制</x:v>
      </x:c>
      <x:c r="B23" s="48"/>
      <x:c r="C23" s="48"/>
      <x:c r="D23" s="48"/>
      <x:c r="E23" s="48"/>
      <x:c r="F23" s="48"/>
      <x:c r="G23" s="48"/>
      <x:c r="H23" s="48"/>
      <x:c r="I23" s="48"/>
      <x:c r="J23" s="48"/>
    </x:row>
    <x:row r="24" ht="30" customHeight="1">
      <x:c r="A24" s="113" t="str">
        <x:v>节点</x:v>
      </x:c>
      <x:c r="B24" s="114" t="str">
        <x:v>检测内容</x:v>
      </x:c>
      <x:c r="C24" s="114" t="str">
        <x:v>通过标准</x:v>
      </x:c>
      <x:c r="D24" s="114" t="str">
        <x:v>未通过怎么调</x:v>
      </x:c>
      <x:c r="E24" s="115" t="str">
        <x:v>通过后怎么调</x:v>
      </x:c>
    </x:row>
    <x:row r="25" ht="44" customHeight="1">
      <x:c r="A25" s="234" t="str">
        <x:v>第4课</x:v>
      </x:c>
      <x:c r="B25" s="215" t="str">
        <x:v>安全、系统认知、基本运动/力学</x:v>
      </x:c>
      <x:c r="C25" s="215" t="str">
        <x:v>能独立完成基础任务并解释关键现象</x:v>
      </x:c>
      <x:c r="D25" s="215" t="str">
        <x:v>补M0/M1基础1-2课</x:v>
      </x:c>
      <x:c r="E25" s="216" t="str">
        <x:v>可加难度或缩短后续基础讲解</x:v>
      </x:c>
    </x:row>
    <x:row r="26" ht="44" customHeight="1">
      <x:c r="A26" s="234" t="str">
        <x:v>第8课</x:v>
      </x:c>
      <x:c r="B26" s="215" t="str">
        <x:v>坐标/空间数学/基础编程</x:v>
      </x:c>
      <x:c r="C26" s="215" t="str">
        <x:v>能设计并完成一个自动路线</x:v>
      </x:c>
      <x:c r="D26" s="215" t="str">
        <x:v>补坐标/编程小任务</x:v>
      </x:c>
      <x:c r="E26" s="216" t="str">
        <x:v>加入更复杂图形/航点</x:v>
      </x:c>
    </x:row>
    <x:row r="27" ht="44" customHeight="1">
      <x:c r="A27" s="234" t="str">
        <x:v>第12课</x:v>
      </x:c>
      <x:c r="B27" s="215" t="str">
        <x:v>IMU、数据、滤波/估计</x:v>
      </x:c>
      <x:c r="C27" s="215" t="str">
        <x:v>能读曲线并解释噪声与估计</x:v>
      </x:c>
      <x:c r="D27" s="215" t="str">
        <x:v>回到M2做数据小实验</x:v>
      </x:c>
      <x:c r="E27" s="216" t="str">
        <x:v>加入Kalman/EKF概念或代码</x:v>
      </x:c>
    </x:row>
    <x:row r="28" ht="44" customHeight="1">
      <x:c r="A28" s="234" t="str">
        <x:v>第16课</x:v>
      </x:c>
      <x:c r="B28" s="215" t="str">
        <x:v>反馈、PID/硬件链路</x:v>
      </x:c>
      <x:c r="C28" s="215" t="str">
        <x:v>能用框图解释闭环并完成调参/硬件任务</x:v>
      </x:c>
      <x:c r="D28" s="215" t="str">
        <x:v>拆小实验：P控制或ESP32闭环</x:v>
      </x:c>
      <x:c r="E28" s="216" t="str">
        <x:v>进入串级控制/源码</x:v>
      </x:c>
    </x:row>
    <x:row r="29" ht="44" customHeight="1">
      <x:c r="A29" s="235" t="str">
        <x:v>第20课</x:v>
      </x:c>
      <x:c r="B29" s="219" t="str">
        <x:v>综合项目+答辩</x:v>
      </x:c>
      <x:c r="C29" s="219" t="str">
        <x:v>任务完成、数据证据、原理解释、工程规范</x:v>
      </x:c>
      <x:c r="D29" s="219" t="str">
        <x:v>形成补强清单，不简单判失败</x:v>
      </x:c>
      <x:c r="E29" s="221" t="str">
        <x:v>推荐L2/L3/竞赛/科研项目</x:v>
      </x:c>
    </x:row>
  </x:sheetData>
  <x:mergeCells>
    <x:mergeCell ref="A1:J1"/>
    <x:mergeCell ref="A2:J2"/>
    <x:mergeCell ref="A12:J12"/>
    <x:mergeCell ref="A23:J23"/>
  </x:mergeCells>
  <x:conditionalFormatting sqref="B14:B1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B14:B19">
      <x:formula1>"0,1,2,3"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31" hidden="0" customWidth="1"/>
    <x:col min="4" max="4" width="29" hidden="0" customWidth="1"/>
    <x:col min="5" max="5" width="24" hidden="0" customWidth="1"/>
    <x:col min="6" max="6" width="18" hidden="0" customWidth="1"/>
    <x:col min="7" max="7" width="20" hidden="0" customWidth="1"/>
    <x:col min="8" max="8" width="20" hidden="0" customWidth="1"/>
  </x:cols>
  <x:sheetData>
    <x:row r="1" ht="34" customHeight="1">
      <x:c r="A1" s="5" t="str">
        <x:v>统一90分钟课堂模板｜案例驱动 + 知识嵌入 + 数据复盘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3" t="str">
        <x:v>所有版本共用同一课堂节奏；差异只在知识深度和项目难度。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113" t="str">
        <x:v>环节</x:v>
      </x:c>
      <x:c r="B4" s="114" t="str">
        <x:v>分钟</x:v>
      </x:c>
      <x:c r="C4" s="114" t="str">
        <x:v>教师动作</x:v>
      </x:c>
      <x:c r="D4" s="114" t="str">
        <x:v>学生动作</x:v>
      </x:c>
      <x:c r="E4" s="114" t="str">
        <x:v>建议产物</x:v>
      </x:c>
      <x:c r="F4" s="114" t="str">
        <x:v>L1重点</x:v>
      </x:c>
      <x:c r="G4" s="114" t="str">
        <x:v>L2重点</x:v>
      </x:c>
      <x:c r="H4" s="115" t="str">
        <x:v>L3重点</x:v>
      </x:c>
    </x:row>
    <x:row r="5" ht="48" customHeight="1">
      <x:c r="A5" s="234" t="str">
        <x:v>1. 任务导入</x:v>
      </x:c>
      <x:c r="B5" s="238" t="n">
        <x:v>10</x:v>
      </x:c>
      <x:c r="C5" s="215" t="str">
        <x:v>提出真实任务/故障/挑战，不先讲理论</x:v>
      </x:c>
      <x:c r="D5" s="215" t="str">
        <x:v>观察、预测、提出问题</x:v>
      </x:c>
      <x:c r="E5" s="215" t="str">
        <x:v>任务卡</x:v>
      </x:c>
      <x:c r="F5" s="215" t="str">
        <x:v>趣味/故事</x:v>
      </x:c>
      <x:c r="G5" s="215" t="str">
        <x:v>学科问题</x:v>
      </x:c>
      <x:c r="H5" s="216" t="str">
        <x:v>工程/科研问题</x:v>
      </x:c>
    </x:row>
    <x:row r="6" ht="48" customHeight="1">
      <x:c r="A6" s="234" t="str">
        <x:v>2. 学科知识</x:v>
      </x:c>
      <x:c r="B6" s="238" t="n">
        <x:v>15</x:v>
      </x:c>
      <x:c r="C6" s="215" t="str">
        <x:v>只讲完成任务所需的数学物理</x:v>
      </x:c>
      <x:c r="D6" s="215" t="str">
        <x:v>用图、实验或计算验证</x:v>
      </x:c>
      <x:c r="E6" s="215" t="str">
        <x:v>知识卡</x:v>
      </x:c>
      <x:c r="F6" s="215" t="str">
        <x:v>直观概念</x:v>
      </x:c>
      <x:c r="G6" s="215" t="str">
        <x:v>课内知识迁移</x:v>
      </x:c>
      <x:c r="H6" s="216" t="str">
        <x:v>公式/模型按需</x:v>
      </x:c>
    </x:row>
    <x:row r="7" ht="48" customHeight="1">
      <x:c r="A7" s="234" t="str">
        <x:v>3. 无人机原理</x:v>
      </x:c>
      <x:c r="B7" s="238" t="n">
        <x:v>15</x:v>
      </x:c>
      <x:c r="C7" s="215" t="str">
        <x:v>把学科知识映射到飞控系统</x:v>
      </x:c>
      <x:c r="D7" s="215" t="str">
        <x:v>画流程/框图并解释</x:v>
      </x:c>
      <x:c r="E7" s="215" t="str">
        <x:v>系统框图</x:v>
      </x:c>
      <x:c r="F7" s="215" t="str">
        <x:v>看懂链路</x:v>
      </x:c>
      <x:c r="G7" s="215" t="str">
        <x:v>解释算法</x:v>
      </x:c>
      <x:c r="H7" s="216" t="str">
        <x:v>进入模型/源码</x:v>
      </x:c>
    </x:row>
    <x:row r="8" ht="48" customHeight="1">
      <x:c r="A8" s="234" t="str">
        <x:v>4. 实验/编程</x:v>
      </x:c>
      <x:c r="B8" s="238" t="n">
        <x:v>35</x:v>
      </x:c>
      <x:c r="C8" s="215" t="str">
        <x:v>提供安全边界和实验步骤</x:v>
      </x:c>
      <x:c r="D8" s="215" t="str">
        <x:v>飞行、调参、编程、焊接</x:v>
      </x:c>
      <x:c r="E8" s="215" t="str">
        <x:v>代码/硬件/飞行结果</x:v>
      </x:c>
      <x:c r="F8" s="215" t="str">
        <x:v>完成任务</x:v>
      </x:c>
      <x:c r="G8" s="215" t="str">
        <x:v>对比参数</x:v>
      </x:c>
      <x:c r="H8" s="216" t="str">
        <x:v>修改算法/源码</x:v>
      </x:c>
    </x:row>
    <x:row r="9" ht="48" customHeight="1">
      <x:c r="A9" s="234" t="str">
        <x:v>5. 数据分析</x:v>
      </x:c>
      <x:c r="B9" s="238" t="n">
        <x:v>10</x:v>
      </x:c>
      <x:c r="C9" s="215" t="str">
        <x:v>引导比较现象和数据</x:v>
      </x:c>
      <x:c r="D9" s="215" t="str">
        <x:v>读图、算误差、找原因</x:v>
      </x:c>
      <x:c r="E9" s="215" t="str">
        <x:v>数据截图/表格</x:v>
      </x:c>
      <x:c r="F9" s="215" t="str">
        <x:v>看趋势</x:v>
      </x:c>
      <x:c r="G9" s="215" t="str">
        <x:v>误差/超调</x:v>
      </x:c>
      <x:c r="H9" s="216" t="str">
        <x:v>性能/统计</x:v>
      </x:c>
    </x:row>
    <x:row r="10" ht="48" customHeight="1">
      <x:c r="A10" s="234" t="str">
        <x:v>6. 项目记录</x:v>
      </x:c>
      <x:c r="B10" s="238" t="n">
        <x:v>5</x:v>
      </x:c>
      <x:c r="C10" s="215" t="str">
        <x:v>要求一句结论+一张图+下一步</x:v>
      </x:c>
      <x:c r="D10" s="215" t="str">
        <x:v>形成迭代记录</x:v>
      </x:c>
      <x:c r="E10" s="215" t="str">
        <x:v>作品集日志</x:v>
      </x:c>
      <x:c r="F10" s="215" t="str">
        <x:v>说清楚</x:v>
      </x:c>
      <x:c r="G10" s="215" t="str">
        <x:v>数据证据</x:v>
      </x:c>
      <x:c r="H10" s="216" t="str">
        <x:v>可复现文档</x:v>
      </x:c>
    </x:row>
    <x:row r="11">
      <x:c r="A11" s="205" t="str">
        <x:v>合计</x:v>
      </x:c>
      <x:c r="B11" s="211" t="n">
        <x:f>SUM(B5:B10)</x:f>
        <x:v>90</x:v>
      </x:c>
      <x:c r="C11" s="219" t="str"/>
      <x:c r="D11" s="219" t="str"/>
      <x:c r="E11" s="219" t="str"/>
      <x:c r="F11" s="219" t="str"/>
      <x:c r="G11" s="219" t="str"/>
      <x:c r="H11" s="221" t="str"/>
    </x:row>
    <x:row r="13" ht="24" customHeight="1">
      <x:c r="A13" s="48" t="str">
        <x:v>单节课教师备课单（可复制使用）</x:v>
      </x:c>
      <x:c r="B13" s="48"/>
      <x:c r="C13" s="48"/>
      <x:c r="D13" s="48"/>
      <x:c r="E13" s="48"/>
      <x:c r="F13" s="48"/>
      <x:c r="G13" s="48"/>
      <x:c r="H13" s="48"/>
      <x:c r="I13" s="48"/>
      <x:c r="J13" s="48"/>
    </x:row>
    <x:row r="14" ht="30" customHeight="1">
      <x:c r="A14" s="149" t="str">
        <x:v>字段</x:v>
      </x:c>
      <x:c r="B14" s="151" t="str">
        <x:v>填写示例</x:v>
      </x:c>
    </x:row>
    <x:row r="15" ht="40" customHeight="1">
      <x:c r="A15" s="234" t="str">
        <x:v>本课任务</x:v>
      </x:c>
      <x:c r="B15" s="216" t="str">
        <x:v>让无人机稳定在1米高度</x:v>
      </x:c>
    </x:row>
    <x:row r="16" ht="40" customHeight="1">
      <x:c r="A16" s="234" t="str">
        <x:v>学生可见现象</x:v>
      </x:c>
      <x:c r="B16" s="216" t="str">
        <x:v>高度上下波动；参数不同，响应不同</x:v>
      </x:c>
    </x:row>
    <x:row r="17" ht="40" customHeight="1">
      <x:c r="A17" s="234" t="str">
        <x:v>嵌入学科知识</x:v>
      </x:c>
      <x:c r="B17" s="216" t="str">
        <x:v>目标值/实际值/误差；比例；变化趋势</x:v>
      </x:c>
    </x:row>
    <x:row r="18" ht="40" customHeight="1">
      <x:c r="A18" s="234" t="str">
        <x:v>无人机知识</x:v>
      </x:c>
      <x:c r="B18" s="216" t="str">
        <x:v>高度传感器、闭环反馈、PID</x:v>
      </x:c>
    </x:row>
    <x:row r="19" ht="40" customHeight="1">
      <x:c r="A19" s="234" t="str">
        <x:v>关键实验变量</x:v>
      </x:c>
      <x:c r="B19" s="216" t="str">
        <x:v>P参数 / 目标高度 / 载荷</x:v>
      </x:c>
    </x:row>
    <x:row r="20" ht="40" customHeight="1">
      <x:c r="A20" s="234" t="str">
        <x:v>数据证据</x:v>
      </x:c>
      <x:c r="B20" s="216" t="str">
        <x:v>高度-时间曲线；超调；稳定时间</x:v>
      </x:c>
    </x:row>
    <x:row r="21" ht="40" customHeight="1">
      <x:c r="A21" s="234" t="str">
        <x:v>阶段产物</x:v>
      </x:c>
      <x:c r="B21" s="216" t="str">
        <x:v>调参记录+一张曲线+一句结论</x:v>
      </x:c>
    </x:row>
    <x:row r="22" ht="40" customHeight="1">
      <x:c r="A22" s="235" t="str">
        <x:v>安全边界</x:v>
      </x:c>
      <x:c r="B22" s="221" t="str">
        <x:v>保护区/限高/限速/断桨实验优先</x:v>
      </x:c>
    </x:row>
  </x:sheetData>
  <x:mergeCells>
    <x:mergeCell ref="A1:J1"/>
    <x:mergeCell ref="A2:J2"/>
    <x:mergeCell ref="A13:J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28" hidden="0" customWidth="1"/>
    <x:col min="5" max="5" width="30" hidden="0" customWidth="1"/>
    <x:col min="6" max="6" width="24" hidden="0" customWidth="1"/>
  </x:cols>
  <x:sheetData>
    <x:row r="1" ht="34" customHeight="1">
      <x:c r="A1" s="5" t="str">
        <x:v>初高中学科知识 × 无人机算法映射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3" t="str">
        <x:v>用于学校汇报：高级算法不等于让学生完整推导；课程采用“概念理解→实验观察→专业延伸”分层。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113" t="str">
        <x:v>主题</x:v>
      </x:c>
      <x:c r="B4" s="114" t="str">
        <x:v>小学/L1</x:v>
      </x:c>
      <x:c r="C4" s="114" t="str">
        <x:v>初高中/L2可理解到什么程度</x:v>
      </x:c>
      <x:c r="D4" s="114" t="str">
        <x:v>对应数学/物理</x:v>
      </x:c>
      <x:c r="E4" s="114" t="str">
        <x:v>大学/L3深入内容</x:v>
      </x:c>
      <x:c r="F4" s="115" t="str">
        <x:v>建议项目案例</x:v>
      </x:c>
    </x:row>
    <x:row r="5" ht="55" customHeight="1">
      <x:c r="A5" s="234" t="str">
        <x:v>微积分</x:v>
      </x:c>
      <x:c r="B5" s="215" t="str">
        <x:v>不讲术语；用“累计、变化快慢”</x:v>
      </x:c>
      <x:c r="C5" s="215" t="str">
        <x:v>用面积/累计和、斜率/变化率解释I和D</x:v>
      </x:c>
      <x:c r="D5" s="215" t="str">
        <x:v>函数、斜率、变化率；高中导数可衔接</x:v>
      </x:c>
      <x:c r="E5" s="215" t="str">
        <x:v>积分/微分方程、连续系统</x:v>
      </x:c>
      <x:c r="F5" s="216" t="str">
        <x:v>PID曲线对比</x:v>
      </x:c>
    </x:row>
    <x:row r="6" ht="55" customHeight="1">
      <x:c r="A6" s="234" t="str">
        <x:v>矩阵运算</x:v>
      </x:c>
      <x:c r="B6" s="215" t="str">
        <x:v>坐标表格/方向组合</x:v>
      </x:c>
      <x:c r="C6" s="215" t="str">
        <x:v>理解矩阵能做坐标变换；做2D简单运算</x:v>
      </x:c>
      <x:c r="D6" s="215" t="str">
        <x:v>向量、坐标、矩阵入门</x:v>
      </x:c>
      <x:c r="E6" s="215" t="str">
        <x:v>线性代数、状态空间</x:v>
      </x:c>
      <x:c r="F6" s="216" t="str">
        <x:v>机体系→世界系转换</x:v>
      </x:c>
    </x:row>
    <x:row r="7" ht="55" customHeight="1">
      <x:c r="A7" s="234" t="str">
        <x:v>旋转矩阵</x:v>
      </x:c>
      <x:c r="B7" s="215" t="str">
        <x:v>用箭头表示方向</x:v>
      </x:c>
      <x:c r="C7" s="215" t="str">
        <x:v>理解“换坐标系/旋转一个向量”的用途</x:v>
      </x:c>
      <x:c r="D7" s="215" t="str">
        <x:v>三角函数、向量</x:v>
      </x:c>
      <x:c r="E7" s="215" t="str">
        <x:v>SO(3)、旋转矩阵推导</x:v>
      </x:c>
      <x:c r="F7" s="216" t="str">
        <x:v>姿态可视化</x:v>
      </x:c>
    </x:row>
    <x:row r="8" ht="55" customHeight="1">
      <x:c r="A8" s="234" t="str">
        <x:v>四元数</x:v>
      </x:c>
      <x:c r="B8" s="215" t="str">
        <x:v>不讲</x:v>
      </x:c>
      <x:c r="C8" s="215" t="str">
        <x:v>知道它是计算机描述3D旋转的方法，可避免某些欧拉角问题</x:v>
      </x:c>
      <x:c r="D8" s="215" t="str">
        <x:v>角度、空间想象</x:v>
      </x:c>
      <x:c r="E8" s="215" t="str">
        <x:v>四元数代数、姿态积分</x:v>
      </x:c>
      <x:c r="F8" s="216" t="str">
        <x:v>欧拉角vs四元数</x:v>
      </x:c>
    </x:row>
    <x:row r="9" ht="55" customHeight="1">
      <x:c r="A9" s="234" t="str">
        <x:v>刚体转动</x:v>
      </x:c>
      <x:c r="B9" s="215" t="str">
        <x:v>转动方向/重心</x:v>
      </x:c>
      <x:c r="C9" s="215" t="str">
        <x:v>Roll/Pitch/Yaw、力矩、转动惯量直观</x:v>
      </x:c>
      <x:c r="D9" s="215" t="str">
        <x:v>力矩、牛顿定律、圆周/转动概念</x:v>
      </x:c>
      <x:c r="E9" s="215" t="str">
        <x:v>Euler刚体方程</x:v>
      </x:c>
      <x:c r="F9" s="216" t="str">
        <x:v>载荷位置实验</x:v>
      </x:c>
    </x:row>
    <x:row r="10" ht="55" customHeight="1">
      <x:c r="A10" s="234" t="str">
        <x:v>转动惯量</x:v>
      </x:c>
      <x:c r="B10" s="215" t="str">
        <x:v>重物离中心远更难转</x:v>
      </x:c>
      <x:c r="C10" s="215" t="str">
        <x:v>质量分布影响旋转响应</x:v>
      </x:c>
      <x:c r="D10" s="215" t="str">
        <x:v>力矩、变量控制</x:v>
      </x:c>
      <x:c r="E10" s="215" t="str">
        <x:v>惯量矩阵、参数辨识</x:v>
      </x:c>
      <x:c r="F10" s="216" t="str">
        <x:v>不同载荷位置对比</x:v>
      </x:c>
    </x:row>
    <x:row r="11" ht="55" customHeight="1">
      <x:c r="A11" s="234" t="str">
        <x:v>角动量</x:v>
      </x:c>
      <x:c r="B11" s="215" t="str">
        <x:v>旋转有“保持趋势”</x:v>
      </x:c>
      <x:c r="C11" s="215" t="str">
        <x:v>做定性理解，不要求矢量方程</x:v>
      </x:c>
      <x:c r="D11" s="215" t="str">
        <x:v>转动、守恒思想</x:v>
      </x:c>
      <x:c r="E11" s="215" t="str">
        <x:v>角动量方程</x:v>
      </x:c>
      <x:c r="F11" s="216" t="str">
        <x:v>旋转轮/姿态类比</x:v>
      </x:c>
    </x:row>
    <x:row r="12" ht="55" customHeight="1">
      <x:c r="A12" s="234" t="str">
        <x:v>空气动力学</x:v>
      </x:c>
      <x:c r="B12" s="215" t="str">
        <x:v>桨转得快推力大</x:v>
      </x:c>
      <x:c r="C12" s="215" t="str">
        <x:v>推力、阻力、速度关系定性/简单函数</x:v>
      </x:c>
      <x:c r="D12" s="215" t="str">
        <x:v>力、功率、函数</x:v>
      </x:c>
      <x:c r="E12" s="215" t="str">
        <x:v>桨模型、气动参数、CFD可选</x:v>
      </x:c>
      <x:c r="F12" s="216" t="str">
        <x:v>转速-推力曲线</x:v>
      </x:c>
    </x:row>
    <x:row r="13" ht="55" customHeight="1">
      <x:c r="A13" s="234" t="str">
        <x:v>姿态解算</x:v>
      </x:c>
      <x:c r="B13" s="215" t="str">
        <x:v>传感器知道“歪了多少”</x:v>
      </x:c>
      <x:c r="C13" s="215" t="str">
        <x:v>IMU+滤波+角度估计流程</x:v>
      </x:c>
      <x:c r="D13" s="215" t="str">
        <x:v>角度、向量、数据误差</x:v>
      </x:c>
      <x:c r="E13" s="215" t="str">
        <x:v>四元数积分、EKF姿态估计</x:v>
      </x:c>
      <x:c r="F13" s="216" t="str">
        <x:v>IMU姿态仪</x:v>
      </x:c>
    </x:row>
    <x:row r="14" ht="55" customHeight="1">
      <x:c r="A14" s="234" t="str">
        <x:v>Kalman滤波</x:v>
      </x:c>
      <x:c r="B14" s="215" t="str">
        <x:v>两个信息综合更靠谱</x:v>
      </x:c>
      <x:c r="C14" s="215" t="str">
        <x:v>理解预测+测量+权重更新，不推矩阵公式</x:v>
      </x:c>
      <x:c r="D14" s="215" t="str">
        <x:v>平均、误差、概率直觉</x:v>
      </x:c>
      <x:c r="E14" s="215" t="str">
        <x:v>KF/EKF、协方差、状态空间</x:v>
      </x:c>
      <x:c r="F14" s="216" t="str">
        <x:v>噪声数据融合</x:v>
      </x:c>
    </x:row>
    <x:row r="15" ht="55" customHeight="1">
      <x:c r="A15" s="234" t="str">
        <x:v>PID</x:v>
      </x:c>
      <x:c r="B15" s="215" t="str">
        <x:v>高了降、低了升</x:v>
      </x:c>
      <x:c r="C15" s="215" t="str">
        <x:v>P当前误差 / I累计误差 / D变化趋势；看调参效果</x:v>
      </x:c>
      <x:c r="D15" s="215" t="str">
        <x:v>比例、累计、变化率、函数图像</x:v>
      </x:c>
      <x:c r="E15" s="215" t="str">
        <x:v>控制理论、稳定性、频域</x:v>
      </x:c>
      <x:c r="F15" s="216" t="str">
        <x:v>定高/姿态调参</x:v>
      </x:c>
    </x:row>
    <x:row r="16" ht="55" customHeight="1">
      <x:c r="A16" s="234" t="str">
        <x:v>串级PID</x:v>
      </x:c>
      <x:c r="B16" s="215" t="str">
        <x:v>一层任务交给下一层</x:v>
      </x:c>
      <x:c r="C16" s="215" t="str">
        <x:v>角度环→角速度环；理解快环/慢环</x:v>
      </x:c>
      <x:c r="D16" s="215" t="str">
        <x:v>嵌套关系、函数</x:v>
      </x:c>
      <x:c r="E16" s="215" t="str">
        <x:v>多环控制、带宽设计</x:v>
      </x:c>
      <x:c r="F16" s="216" t="str">
        <x:v>姿态串级控制</x:v>
      </x:c>
    </x:row>
    <x:row r="17" ht="55" customHeight="1">
      <x:c r="A17" s="234" t="str">
        <x:v>无刷电机驱动</x:v>
      </x:c>
      <x:c r="B17" s="215" t="str">
        <x:v>认识电机/桨</x:v>
      </x:c>
      <x:c r="C17" s="215" t="str">
        <x:v>PWM/ESC/三相电机只讲系统链路</x:v>
      </x:c>
      <x:c r="D17" s="215" t="str">
        <x:v>电磁/功率可选</x:v>
      </x:c>
      <x:c r="E17" s="215" t="str">
        <x:v>FOC/驱动、电机模型</x:v>
      </x:c>
      <x:c r="F17" s="216" t="str">
        <x:v>电机台架</x:v>
      </x:c>
    </x:row>
    <x:row r="18" ht="55" customHeight="1">
      <x:c r="A18" s="235" t="str">
        <x:v>QFP/PCB焊接</x:v>
      </x:c>
      <x:c r="B18" s="219" t="str">
        <x:v>排针/模块焊接</x:v>
      </x:c>
      <x:c r="C18" s="219" t="str">
        <x:v>了解贴片封装、PCB与制造流程</x:v>
      </x:c>
      <x:c r="D18" s="219" t="str">
        <x:v>电路基础</x:v>
      </x:c>
      <x:c r="E18" s="219" t="str">
        <x:v>PCB设计、SMT、硬件调试</x:v>
      </x:c>
      <x:c r="F18" s="221" t="str">
        <x:v>扩展板制作</x:v>
      </x:c>
    </x:row>
  </x:sheetData>
  <x:mergeCells>
    <x:mergeCell ref="A1:J1"/>
    <x:mergeCell ref="A2:J2"/>
  </x:mergeCells>
  <x:pageMargins left="0.7" right="0.7" top="0.75" bottom="0.75" header="0.3" footer="0.3"/>
</x:worksheet>
</file>